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nottsgov-my.sharepoint.com/personal/jo_sunderland_nottscc_gov_uk/Documents/Desktop/"/>
    </mc:Choice>
  </mc:AlternateContent>
  <xr:revisionPtr revIDLastSave="0" documentId="8_{11059F3A-F7BB-4344-AC04-F52AF0BF0247}" xr6:coauthVersionLast="47" xr6:coauthVersionMax="47" xr10:uidLastSave="{00000000-0000-0000-0000-000000000000}"/>
  <bookViews>
    <workbookView xWindow="-110" yWindow="-110" windowWidth="19420" windowHeight="11500" xr2:uid="{60219D9E-E2BE-4ED2-82C0-8CF05E91E67B}"/>
  </bookViews>
  <sheets>
    <sheet name="Contribution Calculator" sheetId="1" r:id="rId1"/>
    <sheet name="Cost centres" sheetId="11" r:id="rId2"/>
    <sheet name="Lookup" sheetId="10" state="hidden" r:id="rId3"/>
    <sheet name="Day Service &amp; SBR" sheetId="3" r:id="rId4"/>
    <sheet name="Direct Payments (PA)" sheetId="12" r:id="rId5"/>
    <sheet name="External Resi &amp; Nurs - FP4C" sheetId="6" r:id="rId6"/>
    <sheet name="Homecare" sheetId="8" r:id="rId7"/>
    <sheet name="Supp Living" sheetId="9" r:id="rId8"/>
  </sheets>
  <externalReferences>
    <externalReference r:id="rId9"/>
  </externalReferences>
  <definedNames>
    <definedName name="_xlnm._FilterDatabase" localSheetId="1" hidden="1">'Cost centres'!$A$1:$E$1</definedName>
    <definedName name="ChangeDate">'[1]CSE Calc'!$B$22</definedName>
    <definedName name="OnetoOneHrs">'[1]CSE Calc'!$B$33</definedName>
    <definedName name="PackageStart">'[1]CSE Calc'!$B$20</definedName>
    <definedName name="ProviderSelect">'[1]CSE Calc'!$B$27</definedName>
    <definedName name="SharedDaytimeContr">'[1]CSE Calc'!$B$44</definedName>
    <definedName name="SharedWakingNightsContr">'[1]CSE Calc'!$B$45</definedName>
    <definedName name="SleepInSelect">'[1]CSE Calc'!$B$49</definedName>
    <definedName name="SupportSelect">'[1]CSE Calc'!$B$25</definedName>
    <definedName name="TotalDaytimeShared">'[1]CSE Calc'!$D$37</definedName>
    <definedName name="TotalWakingNightsShared">'[1]CSE Calc'!$D$39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 l="1"/>
  <c r="E31" i="1"/>
  <c r="H24" i="1"/>
  <c r="H6" i="1"/>
  <c r="E20" i="1"/>
  <c r="B21" i="3"/>
  <c r="B20" i="3"/>
  <c r="B6" i="3" l="1"/>
  <c r="B5" i="3"/>
  <c r="B4" i="3"/>
  <c r="B3" i="3"/>
  <c r="E24" i="1" l="1"/>
  <c r="E6" i="1"/>
  <c r="J18" i="1"/>
  <c r="K14" i="1"/>
  <c r="I10" i="1"/>
  <c r="B23" i="1" l="1"/>
  <c r="B2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Clare Rickett</author>
  </authors>
  <commentList>
    <comment ref="G9" authorId="0" shapeId="0" xr:uid="{A76DC27F-3FE9-436D-AF31-A083A95C0CCE}">
      <text>
        <r>
          <rPr>
            <b/>
            <sz val="9"/>
            <color indexed="81"/>
            <rFont val="Tahoma"/>
            <family val="2"/>
          </rPr>
          <t>Clare Rickett:</t>
        </r>
        <r>
          <rPr>
            <sz val="9"/>
            <color indexed="81"/>
            <rFont val="Tahoma"/>
            <family val="2"/>
          </rPr>
          <t xml:space="preserve">
Not to be over 50 weeks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Danielle Morris</author>
  </authors>
  <commentList>
    <comment ref="B7" authorId="0" shapeId="0" xr:uid="{E227EDEF-00F5-42CC-BE42-1BBFF9FD51EA}">
      <text>
        <r>
          <rPr>
            <b/>
            <sz val="9"/>
            <color indexed="81"/>
            <rFont val="Tahoma"/>
            <family val="2"/>
          </rPr>
          <t>Danielle Morris:</t>
        </r>
        <r>
          <rPr>
            <sz val="9"/>
            <color indexed="81"/>
            <rFont val="Tahoma"/>
            <family val="2"/>
          </rPr>
          <t xml:space="preserve">
Wrong 2025/26 rate on all elements in cabinet paper so doesn't equate to 3.56% as planned</t>
        </r>
      </text>
    </comment>
  </commentList>
</comments>
</file>

<file path=xl/sharedStrings.xml><?xml version="1.0" encoding="utf-8"?>
<sst xmlns="http://schemas.openxmlformats.org/spreadsheetml/2006/main" count="837" uniqueCount="412">
  <si>
    <t>Mosaic ID</t>
  </si>
  <si>
    <t>Name</t>
  </si>
  <si>
    <t>Date of Birth</t>
  </si>
  <si>
    <t>Organisation Paying the Provider/DP</t>
  </si>
  <si>
    <t>Responsible ICB</t>
  </si>
  <si>
    <t>Type of calculation</t>
  </si>
  <si>
    <t>Internal Short Breaks 1-1 Support</t>
  </si>
  <si>
    <t>Number of hours per day</t>
  </si>
  <si>
    <t>Number of days in 12 month period</t>
  </si>
  <si>
    <t>Weekly Cost</t>
  </si>
  <si>
    <t>Weekly Cost Adjusted</t>
  </si>
  <si>
    <t>Day Service Matrix Rate</t>
  </si>
  <si>
    <t>Provider</t>
  </si>
  <si>
    <t>Need Level</t>
  </si>
  <si>
    <t>Number of Sessions per week</t>
  </si>
  <si>
    <t>Number of weeks per year</t>
  </si>
  <si>
    <t>Nursing Placement with FNC</t>
  </si>
  <si>
    <r>
      <t xml:space="preserve">Nursing Placement cost </t>
    </r>
    <r>
      <rPr>
        <b/>
        <sz val="11"/>
        <color theme="1"/>
        <rFont val="Aptos Narrow"/>
        <family val="2"/>
        <scheme val="minor"/>
      </rPr>
      <t xml:space="preserve">excluding </t>
    </r>
    <r>
      <rPr>
        <sz val="11"/>
        <color theme="1"/>
        <rFont val="Aptos Narrow"/>
        <family val="2"/>
        <scheme val="minor"/>
      </rPr>
      <t>cost of FNC</t>
    </r>
  </si>
  <si>
    <t>FNC Rate - Standard</t>
  </si>
  <si>
    <t>FNC Cost</t>
  </si>
  <si>
    <t>Weekly Total</t>
  </si>
  <si>
    <t>Total cost for all Elements</t>
  </si>
  <si>
    <t>Non Standard Calculation</t>
  </si>
  <si>
    <t>Element Type</t>
  </si>
  <si>
    <t>Days</t>
  </si>
  <si>
    <t>One off Element</t>
  </si>
  <si>
    <t>Element Total</t>
  </si>
  <si>
    <t>Total Cost for non standard</t>
  </si>
  <si>
    <t>Percentage</t>
  </si>
  <si>
    <t>NCC%</t>
  </si>
  <si>
    <t>ICB %</t>
  </si>
  <si>
    <t>Is this an ongoing package of care?</t>
  </si>
  <si>
    <t>Cost of care</t>
  </si>
  <si>
    <t>Cost of Care</t>
  </si>
  <si>
    <t>ICB Annual Totals (if full year)</t>
  </si>
  <si>
    <t xml:space="preserve">do not alter this </t>
  </si>
  <si>
    <t>Total package costs</t>
  </si>
  <si>
    <t>NCC cost</t>
  </si>
  <si>
    <t>ICB cost</t>
  </si>
  <si>
    <t>Matrix Band</t>
  </si>
  <si>
    <t>2026/27</t>
  </si>
  <si>
    <t>Per Day</t>
  </si>
  <si>
    <t>Per Session</t>
  </si>
  <si>
    <t>Complex Needs</t>
  </si>
  <si>
    <t>High Level Needs</t>
  </si>
  <si>
    <t>Medium Level Needs</t>
  </si>
  <si>
    <t>Low Level Needs</t>
  </si>
  <si>
    <t>1:1 Support</t>
  </si>
  <si>
    <t>per hour</t>
  </si>
  <si>
    <t>2:1 Support</t>
  </si>
  <si>
    <t>Short Breaks Respite</t>
  </si>
  <si>
    <t>Internal SBR units</t>
  </si>
  <si>
    <t>1:1 support</t>
  </si>
  <si>
    <r>
      <rPr>
        <b/>
        <sz val="11"/>
        <color theme="1"/>
        <rFont val="Aptos Narrow"/>
        <family val="2"/>
        <scheme val="minor"/>
      </rPr>
      <t xml:space="preserve">NB:  </t>
    </r>
    <r>
      <rPr>
        <sz val="11"/>
        <color theme="1"/>
        <rFont val="Aptos Narrow"/>
        <family val="2"/>
        <scheme val="minor"/>
      </rPr>
      <t>No increase to weeky rate wef 01.04.19 but 1:1 has been costed in line with that of day services</t>
    </r>
  </si>
  <si>
    <t>Bassetlaw</t>
  </si>
  <si>
    <t>Gedling</t>
  </si>
  <si>
    <t>Rushcliffe</t>
  </si>
  <si>
    <t>Care Home Banding</t>
  </si>
  <si>
    <t>Fee 2026/27
Standard Residential Care</t>
  </si>
  <si>
    <t>Fee 2026/27
Dementia Residential Care</t>
  </si>
  <si>
    <t>Fee 2026/27
Standard Nursing Care</t>
  </si>
  <si>
    <t>Fee 2026/27
Dementia Nursing Care</t>
  </si>
  <si>
    <t>For 2026/27 standard were increased by 3.56%. No inc to dementia rates - DQM will be phased out from Apr 2027</t>
  </si>
  <si>
    <t>Under 65</t>
  </si>
  <si>
    <t>3.56% on residential placements below £1,025.62 (in county)</t>
  </si>
  <si>
    <t>Band 2</t>
  </si>
  <si>
    <t>Match host LA % for out of county residential below £1,025.62</t>
  </si>
  <si>
    <t>Band 3</t>
  </si>
  <si>
    <t>Over £1,025.62 no automatic uplift - need to apply with evidence</t>
  </si>
  <si>
    <t>Band 4</t>
  </si>
  <si>
    <t>NO uplift to Nursing care</t>
  </si>
  <si>
    <t>Band 5</t>
  </si>
  <si>
    <t xml:space="preserve">In general any older adults care homes that are out of county should have been increased to the rate set by the hosting authority – although there will be times when a specific request is made by a care home/care home group.  Where these are received then separate negotiations will take place with the requesting organisation.  Sometimes, but not always, discussions will take place with budget holders but this is dependent on the size of the increase being requested etc.  </t>
  </si>
  <si>
    <t>London Care Limited trading as Comfort Call</t>
  </si>
  <si>
    <t>Fosse Healthcare Limited</t>
  </si>
  <si>
    <t>I:\FINANCE\ACCOUNTING\ADULTS\Team Information\Reference &amp; Information\Rates\2018-2026 HBC Rates_.xlsx</t>
  </si>
  <si>
    <t>Mansfield &amp; Ashfield</t>
  </si>
  <si>
    <t>2026-2027</t>
  </si>
  <si>
    <t>Broxtowe</t>
  </si>
  <si>
    <t>Newark</t>
  </si>
  <si>
    <t>SPOT</t>
  </si>
  <si>
    <t>Lead Provider MansAsh</t>
  </si>
  <si>
    <t>Lead Provider - Bassetlaw</t>
  </si>
  <si>
    <t>Lead Provider Broxtowe</t>
  </si>
  <si>
    <t>Westminster Home Care Limited</t>
  </si>
  <si>
    <t>Lead Provider Gedling</t>
  </si>
  <si>
    <t>Lead Provider - Newark</t>
  </si>
  <si>
    <t>Lead Provider - Rushcliffe</t>
  </si>
  <si>
    <t>Additional Providers MansAsh</t>
  </si>
  <si>
    <t>Additional Providers - Bassetlaw</t>
  </si>
  <si>
    <t>Additional Providers Broxtowe</t>
  </si>
  <si>
    <t>London Care Limited t/a Comfort Call</t>
  </si>
  <si>
    <t>None</t>
  </si>
  <si>
    <t>A2L Care Servcies</t>
  </si>
  <si>
    <t>London Care Limited trading as Comfort Call Limited</t>
  </si>
  <si>
    <t>Leda Home Care Limited</t>
  </si>
  <si>
    <t xml:space="preserve">Fosse Healthcare </t>
  </si>
  <si>
    <t>Additional Providers Gedling</t>
  </si>
  <si>
    <t>Additional Providers Newark</t>
  </si>
  <si>
    <t>Additional Providers Rushcliffe</t>
  </si>
  <si>
    <t>Compassionate Care</t>
  </si>
  <si>
    <t>Westminster Home Care</t>
  </si>
  <si>
    <t>Gemini Exclusive Care</t>
  </si>
  <si>
    <t xml:space="preserve">Caremark UK Ltd (Broxtowe and Erewash) </t>
  </si>
  <si>
    <t>Mercie Grace</t>
  </si>
  <si>
    <t>Bhandal Home Care</t>
  </si>
  <si>
    <t>Agincare Group Limited</t>
  </si>
  <si>
    <t>Caremark UK Limited (Mansfield)</t>
  </si>
  <si>
    <t>Hallam24 Healthcare Limited t/a Hallam 24</t>
  </si>
  <si>
    <t>Profad Care Agency Limtied</t>
  </si>
  <si>
    <t>Premier Care</t>
  </si>
  <si>
    <t>Gemini</t>
  </si>
  <si>
    <t>Westminster Homecare Limited</t>
  </si>
  <si>
    <t>Bhandal Care Group</t>
  </si>
  <si>
    <t>Compassionaate Care Team Limited</t>
  </si>
  <si>
    <t>Profad Care Agency Limited</t>
  </si>
  <si>
    <t>Hallam24 Healthcare Limited</t>
  </si>
  <si>
    <t>Paradice Hope Limited</t>
  </si>
  <si>
    <t>Art Suppport limited T/ Adi Care</t>
  </si>
  <si>
    <t>Diamond Care Solution Limtied</t>
  </si>
  <si>
    <t>Westminister HomeCare Limited</t>
  </si>
  <si>
    <t>Art Support Limited t/a Adicare</t>
  </si>
  <si>
    <t>Mercie Grace Care Limited</t>
  </si>
  <si>
    <t>Reymc247 PVT Limtied t/a Royal Care Healht</t>
  </si>
  <si>
    <t>Paradise Hope Limited</t>
  </si>
  <si>
    <t>diamond Care Solutions Limited</t>
  </si>
  <si>
    <t>Mi Casa Care Limited t/a Responsive Care Group</t>
  </si>
  <si>
    <t>Provider Care Solutions</t>
  </si>
  <si>
    <t>Karmad Limited t/a Respectful Care Nottingham North</t>
  </si>
  <si>
    <t>paradise Hope Limited</t>
  </si>
  <si>
    <t>React homecare limited</t>
  </si>
  <si>
    <t>Forever Independent Limited</t>
  </si>
  <si>
    <t>Hallam24 healthcare limited</t>
  </si>
  <si>
    <t>Docmar Limited t/a Respectful Care Mansfield and Worksop</t>
  </si>
  <si>
    <t>Mark Time Care Limtied</t>
  </si>
  <si>
    <t>Mi Casa Care Limited t/a Response Care Group</t>
  </si>
  <si>
    <t xml:space="preserve">Spring of Joy Care Solutions </t>
  </si>
  <si>
    <t>Springs of Joy Care Solutins</t>
  </si>
  <si>
    <t>Art Support Limited t/a AdiCare</t>
  </si>
  <si>
    <t>Premier Nursing Agency t/a Premier Community</t>
  </si>
  <si>
    <t>MSK Healthcare Limited</t>
  </si>
  <si>
    <t>React Homecare Limtied</t>
  </si>
  <si>
    <t>Westminster Homecare Ltd</t>
  </si>
  <si>
    <t>JWM Healthcare Ltd</t>
  </si>
  <si>
    <t>Springs of Joy Care Solution (SOJ) CiC t/a Springs of Joy Care Solutions</t>
  </si>
  <si>
    <t>Karmad Limited T/A Respectful Care</t>
  </si>
  <si>
    <t>Mercie Grace Care Ltd</t>
  </si>
  <si>
    <t>Supplementary Providers - Rushcliffe</t>
  </si>
  <si>
    <t>React Homecare Limited</t>
  </si>
  <si>
    <t>Key2Care ltd t/a Derbyshire Care Services</t>
  </si>
  <si>
    <t>Mark Time Care Limited</t>
  </si>
  <si>
    <t>Premier Nursing Agency Ltd t/a Premier Community</t>
  </si>
  <si>
    <t>Rising Care Services Limited</t>
  </si>
  <si>
    <t>Docmar Limited T/a Respectful Care</t>
  </si>
  <si>
    <t>Supplementary Providers - Newark</t>
  </si>
  <si>
    <t>Mercie Grace Ltd</t>
  </si>
  <si>
    <t>Springs of Joy Care Solutions (SOJ) CIC t/a springs of joy Care Solutions</t>
  </si>
  <si>
    <t>Agincare UK  Limited</t>
  </si>
  <si>
    <t>MSK Healthcare Limtied</t>
  </si>
  <si>
    <t>JMW Healthcare Ltd</t>
  </si>
  <si>
    <t>Heaven Scent Care Services Limtied</t>
  </si>
  <si>
    <t>Valley Care Direct Ltd</t>
  </si>
  <si>
    <t>Supplementary Providers Broxtowe</t>
  </si>
  <si>
    <t>Supplementary Providers Gedling</t>
  </si>
  <si>
    <t>East Midlands Crossroad t/a TuVida</t>
  </si>
  <si>
    <t>JWM HealthcareLTD</t>
  </si>
  <si>
    <t>Agincare UK Limited</t>
  </si>
  <si>
    <t>Your Home Care Group Ltd</t>
  </si>
  <si>
    <t>East Midlands Crossroads - Care for Carers t/a Carers Trust East Midlands</t>
  </si>
  <si>
    <t>Supplmentary Providers MansAsh</t>
  </si>
  <si>
    <t>Karmad Limited t/ Rspectful Care</t>
  </si>
  <si>
    <t>Serendipity Healthcare Limited</t>
  </si>
  <si>
    <t>East Midlands Crossroads - Care for Carers T/a Carers Trust East Midlands</t>
  </si>
  <si>
    <t>Key2Care Ltd t/a Derbyshire Care Services</t>
  </si>
  <si>
    <t>Supported Living Category</t>
  </si>
  <si>
    <t>2026/27 Rate</t>
  </si>
  <si>
    <t>Under 65 Standard Rate</t>
  </si>
  <si>
    <t>Under 65 Enhanced Rate</t>
  </si>
  <si>
    <t>Outreach/Community Under 65</t>
  </si>
  <si>
    <t>Non std under 65 below std rates</t>
  </si>
  <si>
    <t>Non std under 65 above std rates</t>
  </si>
  <si>
    <t>Waking Nights Standard Rate</t>
  </si>
  <si>
    <t>Waking Nights Enhanced Rate</t>
  </si>
  <si>
    <t>Sleep-in Nights</t>
  </si>
  <si>
    <t>2026/27 rates</t>
  </si>
  <si>
    <t>Band 1 (as Band 2)</t>
  </si>
  <si>
    <t>Per week</t>
  </si>
  <si>
    <t>Service Category</t>
  </si>
  <si>
    <t>Appeals &amp; Restitution</t>
  </si>
  <si>
    <t>Additional Cost of Care (Aging Well/Nur Packages Only)</t>
  </si>
  <si>
    <t>Additional Support</t>
  </si>
  <si>
    <t>Additional Weekly Costs (For CSE Packages only)</t>
  </si>
  <si>
    <t>CSE Day Care 1:1 Support (Packages started prior to 04.09.2025)</t>
  </si>
  <si>
    <t>Direct Payment</t>
  </si>
  <si>
    <t>Direct Payment Recoup</t>
  </si>
  <si>
    <t>Direct Payment for Short Breaks</t>
  </si>
  <si>
    <t>Direct Payment Support Service</t>
  </si>
  <si>
    <t>Day Service</t>
  </si>
  <si>
    <t>Day Service Full Cost Recovery</t>
  </si>
  <si>
    <t>Extra Care</t>
  </si>
  <si>
    <t>Funded Nursing Care</t>
  </si>
  <si>
    <t>Home Care</t>
  </si>
  <si>
    <t>Home First Response Service</t>
  </si>
  <si>
    <t>Housing with Care</t>
  </si>
  <si>
    <t>Housing with Care Night Waking</t>
  </si>
  <si>
    <t>Night Response Service</t>
  </si>
  <si>
    <t>Nursing Care</t>
  </si>
  <si>
    <t>One-Off</t>
  </si>
  <si>
    <t>Out Reach   </t>
  </si>
  <si>
    <t>Out Reach 1:1 (Packages started prior to 04.09.2025)</t>
  </si>
  <si>
    <t>Residential Care</t>
  </si>
  <si>
    <t>Short Breaks External</t>
  </si>
  <si>
    <t>Short Breaks Internal</t>
  </si>
  <si>
    <t>Shared Daytime Hours</t>
  </si>
  <si>
    <t>Share Lives</t>
  </si>
  <si>
    <t>Shared Sleeping Nights</t>
  </si>
  <si>
    <t>START</t>
  </si>
  <si>
    <t>Short Term Care Nursing</t>
  </si>
  <si>
    <t>Short Term Care Residential</t>
  </si>
  <si>
    <t>Supported Living 1:1 Hours (Packages started prior to 04.09.2025)</t>
  </si>
  <si>
    <t>Supported Living with Accom 1:1 Hours (Post 04.09.2025)</t>
  </si>
  <si>
    <t>Supported Living without Accom 1:1 Hours (Post 04.09.2025)</t>
  </si>
  <si>
    <t>Shared Waking Nights</t>
  </si>
  <si>
    <t>Transport External</t>
  </si>
  <si>
    <t>Transport Internal</t>
  </si>
  <si>
    <t>One to One</t>
  </si>
  <si>
    <t>Two to One</t>
  </si>
  <si>
    <t>Direct Payments</t>
  </si>
  <si>
    <t>Direct Payments Support Service</t>
  </si>
  <si>
    <t>Number of weeks12 month period</t>
  </si>
  <si>
    <t>AS PER CASP</t>
  </si>
  <si>
    <t>Hourly cost</t>
  </si>
  <si>
    <t>Number of days per week</t>
  </si>
  <si>
    <t>Please refer to sheet</t>
  </si>
  <si>
    <t>Profit Center</t>
  </si>
  <si>
    <t>Profit centre name</t>
  </si>
  <si>
    <t>Budget Holder</t>
  </si>
  <si>
    <t>Budget holder name</t>
  </si>
  <si>
    <t>Directorate</t>
  </si>
  <si>
    <t>ASH Carer 0-17</t>
  </si>
  <si>
    <t>JB141</t>
  </si>
  <si>
    <t>Joanne Booth</t>
  </si>
  <si>
    <t>CSWT</t>
  </si>
  <si>
    <t>BASS Carer 0-17</t>
  </si>
  <si>
    <t>JB1045</t>
  </si>
  <si>
    <t>Jodie Blaydes</t>
  </si>
  <si>
    <t>BROX Carer 0-17</t>
  </si>
  <si>
    <t>AWS2</t>
  </si>
  <si>
    <t>Adrian Shaw</t>
  </si>
  <si>
    <t>GED Carer 0-17</t>
  </si>
  <si>
    <t>SJB16</t>
  </si>
  <si>
    <t>Shirley Berry</t>
  </si>
  <si>
    <t>MANS Carer 0-17</t>
  </si>
  <si>
    <t>LM66</t>
  </si>
  <si>
    <t>Lisa Matthews</t>
  </si>
  <si>
    <t>NEW Pers Care 65-74</t>
  </si>
  <si>
    <t>BA83</t>
  </si>
  <si>
    <t>Brorhie Alozie</t>
  </si>
  <si>
    <t>NEW Carer 0-17</t>
  </si>
  <si>
    <t>MDG1</t>
  </si>
  <si>
    <t>Mary Glover</t>
  </si>
  <si>
    <t>RUSH Carer 0-17</t>
  </si>
  <si>
    <t>KG24</t>
  </si>
  <si>
    <t>Kirstie Guthrie</t>
  </si>
  <si>
    <t>BASS Community Team</t>
  </si>
  <si>
    <t>JLD4</t>
  </si>
  <si>
    <t>Jane Hodgkinson</t>
  </si>
  <si>
    <t>ASH Community Team</t>
  </si>
  <si>
    <t>MANS Community Team</t>
  </si>
  <si>
    <t>NEW Community Team</t>
  </si>
  <si>
    <t>ZC21</t>
  </si>
  <si>
    <t>Zoe Cross</t>
  </si>
  <si>
    <t>BROX Community Team</t>
  </si>
  <si>
    <t>SJ39</t>
  </si>
  <si>
    <t>Stacey Johnson</t>
  </si>
  <si>
    <t>GED Community Team</t>
  </si>
  <si>
    <t>SH44</t>
  </si>
  <si>
    <t>Sharon Hayles</t>
  </si>
  <si>
    <t>RUSH Community Team</t>
  </si>
  <si>
    <t>MFW9</t>
  </si>
  <si>
    <t>Mary Wilkins</t>
  </si>
  <si>
    <t>ASH Physical 18-64</t>
  </si>
  <si>
    <t>ASH Physical 65+</t>
  </si>
  <si>
    <t>ASH Campus 18-64</t>
  </si>
  <si>
    <t>ASH LD Support 18-64</t>
  </si>
  <si>
    <t>ASH LD Support 65+</t>
  </si>
  <si>
    <t>ASH MH Support 18-64</t>
  </si>
  <si>
    <t>ASH MH Support 65+</t>
  </si>
  <si>
    <t>ASH Substance 18-64</t>
  </si>
  <si>
    <t>ASH Substance 65+</t>
  </si>
  <si>
    <t>ASH Sensory 18-64</t>
  </si>
  <si>
    <t>ASH Sensory 65+</t>
  </si>
  <si>
    <t>ASH Isolation 18-64</t>
  </si>
  <si>
    <t>ASH Isolation 65+</t>
  </si>
  <si>
    <t>ASH Carer 18-64</t>
  </si>
  <si>
    <t>ASH Carer 65+</t>
  </si>
  <si>
    <t>ASH Mem &amp; Cog 18-64</t>
  </si>
  <si>
    <t>ASH Mem &amp; Cog 65+</t>
  </si>
  <si>
    <t>ASH Transform 18-64</t>
  </si>
  <si>
    <t>BASS Physical 18-64</t>
  </si>
  <si>
    <t>BASS Physical 65+</t>
  </si>
  <si>
    <t>BASS Campus 18-64</t>
  </si>
  <si>
    <t>BASS Campus 65+</t>
  </si>
  <si>
    <t>BASS LD Suppor 18-64</t>
  </si>
  <si>
    <t>BASS LD Support 65+</t>
  </si>
  <si>
    <t>BASS MH Suppor 18-64</t>
  </si>
  <si>
    <t>BASS MH Support 65+</t>
  </si>
  <si>
    <t>BASS Substance 18-64</t>
  </si>
  <si>
    <t>BASS Sensory 18-64</t>
  </si>
  <si>
    <t>BASS Sensory 65+</t>
  </si>
  <si>
    <t>BASS Isolation 18-64</t>
  </si>
  <si>
    <t>BASS Isolation 65+</t>
  </si>
  <si>
    <t>BASS Carer 18-64</t>
  </si>
  <si>
    <t>BASS Carer 65+</t>
  </si>
  <si>
    <t>BASS Mem &amp; Cog 18-64</t>
  </si>
  <si>
    <t>BASS Mem &amp; Cog 65+</t>
  </si>
  <si>
    <t>BASS Transform 18-64</t>
  </si>
  <si>
    <t>BASS Transform 65+</t>
  </si>
  <si>
    <t>BROX Physical 18-64</t>
  </si>
  <si>
    <t>BROX Physical 65+</t>
  </si>
  <si>
    <t>BROX LD Suppor 18-64</t>
  </si>
  <si>
    <t>BROX LD Support 65+</t>
  </si>
  <si>
    <t>BROX MH Suppor 18-64</t>
  </si>
  <si>
    <t>BROX MH Support 65+</t>
  </si>
  <si>
    <t>BROX Sensory 18-64</t>
  </si>
  <si>
    <t>BROX Sensory 65+</t>
  </si>
  <si>
    <t>BROX Isolation 18-64</t>
  </si>
  <si>
    <t>BROX Isolation 65+</t>
  </si>
  <si>
    <t>BROX Carer 18-64</t>
  </si>
  <si>
    <t>BROX Carer 65+</t>
  </si>
  <si>
    <t>BROX Mem &amp; Cog 18-64</t>
  </si>
  <si>
    <t>BROX Mem &amp; Cog 65+</t>
  </si>
  <si>
    <t>BROX Transform 18-64</t>
  </si>
  <si>
    <t>GED Physical 18-64</t>
  </si>
  <si>
    <t>GED Physical 65+</t>
  </si>
  <si>
    <t>GED LD Support 18-64</t>
  </si>
  <si>
    <t>GED LD Support 65+</t>
  </si>
  <si>
    <t>GED MH Support 18-64</t>
  </si>
  <si>
    <t>GED MH Support 65+</t>
  </si>
  <si>
    <t>GED Substance 65+</t>
  </si>
  <si>
    <t>GED Sensory 18-64</t>
  </si>
  <si>
    <t>GED Sensory 65+</t>
  </si>
  <si>
    <t>GED Isolation 18-64</t>
  </si>
  <si>
    <t>GED Isolation 65+</t>
  </si>
  <si>
    <t>GED Carer 18-64</t>
  </si>
  <si>
    <t>GED Carer 65+</t>
  </si>
  <si>
    <t>GED Mem &amp; Cog 18-64</t>
  </si>
  <si>
    <t>GED Mem &amp; Cog 65+</t>
  </si>
  <si>
    <t>GED Transform 18-64</t>
  </si>
  <si>
    <t>MANS Physical 18-64</t>
  </si>
  <si>
    <t>MANS Physical 65+</t>
  </si>
  <si>
    <t>MANS Campus 18-64</t>
  </si>
  <si>
    <t>MANS Campus 65+</t>
  </si>
  <si>
    <t>MANS LD Suppor 18-64</t>
  </si>
  <si>
    <t>MANS LD Support 65+</t>
  </si>
  <si>
    <t>MANS MH Suppor 18-64</t>
  </si>
  <si>
    <t>MANS MH Support 65+</t>
  </si>
  <si>
    <t>MANS Substance 18-64</t>
  </si>
  <si>
    <t>MANS Substance 65+</t>
  </si>
  <si>
    <t>MANS Sensory 18-64</t>
  </si>
  <si>
    <t>MANS Sensory 65+</t>
  </si>
  <si>
    <t>MANS Isolation 18-64</t>
  </si>
  <si>
    <t>MANS Isolation 65+</t>
  </si>
  <si>
    <t>MANS Carer 18-64</t>
  </si>
  <si>
    <t>MANS Carer 65+</t>
  </si>
  <si>
    <t>MANS Mem &amp; Cog 18-64</t>
  </si>
  <si>
    <t>MANS Mem &amp; Cog 65+</t>
  </si>
  <si>
    <t>MANS Transform 18-64</t>
  </si>
  <si>
    <t>NEW Physical 18-64</t>
  </si>
  <si>
    <t>NEW Physical 65+</t>
  </si>
  <si>
    <t>NEW Campus 18-64</t>
  </si>
  <si>
    <t>NEW Campus 65+</t>
  </si>
  <si>
    <t>NEW LD Support 18-64</t>
  </si>
  <si>
    <t>NEW LD Support 65+</t>
  </si>
  <si>
    <t>NEW MH Support 18-64</t>
  </si>
  <si>
    <t>NEW MH Support 65+</t>
  </si>
  <si>
    <t>NEW Substance 18-64</t>
  </si>
  <si>
    <t>NEW Substance 65+</t>
  </si>
  <si>
    <t>NEW Sensory 18-64</t>
  </si>
  <si>
    <t>NEW Sensory 65+</t>
  </si>
  <si>
    <t>NEW Isolation 18-64</t>
  </si>
  <si>
    <t>NEW Isolation 65+</t>
  </si>
  <si>
    <t>NEW Carer 18-64</t>
  </si>
  <si>
    <t>NEW Carer 65+</t>
  </si>
  <si>
    <t>NEW Mem &amp; Cog 18-64</t>
  </si>
  <si>
    <t>NEW Mem &amp; Cog 65+</t>
  </si>
  <si>
    <t>NEW Transform 18-64</t>
  </si>
  <si>
    <t>NEW Transform 65+</t>
  </si>
  <si>
    <t>RUSH Physical 18-64</t>
  </si>
  <si>
    <t>RUSH Physical 65+</t>
  </si>
  <si>
    <t>RUSH LD Suppor 18-64</t>
  </si>
  <si>
    <t>RUSH LD Support 65+</t>
  </si>
  <si>
    <t>RUSH MH Suppor 18-64</t>
  </si>
  <si>
    <t>RUSH MH Support 65+</t>
  </si>
  <si>
    <t>RUSH Substance 65+</t>
  </si>
  <si>
    <t>RUSH Sensory 18-64</t>
  </si>
  <si>
    <t>RUSH Sensory 65+</t>
  </si>
  <si>
    <t>RUSH Isolation 18-64</t>
  </si>
  <si>
    <t>RUSH Isolation 65+</t>
  </si>
  <si>
    <t>RUSH Carer 18-64</t>
  </si>
  <si>
    <t>RUSH Carer 65+</t>
  </si>
  <si>
    <t>RUSH Mem &amp; Cog 18-64</t>
  </si>
  <si>
    <t>RUSH Mem &amp; Cog 65+</t>
  </si>
  <si>
    <t>RUSH Transform 18-64</t>
  </si>
  <si>
    <t>Newark &amp; Sherwood</t>
  </si>
  <si>
    <t>Mansfield/Ashfield</t>
  </si>
  <si>
    <t>Brozxtowe</t>
  </si>
  <si>
    <t>DP Care Agency</t>
  </si>
  <si>
    <t>Self Employed PA</t>
  </si>
  <si>
    <t>Employed PA</t>
  </si>
  <si>
    <t>2026/27 Max Rate</t>
  </si>
  <si>
    <t>DP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</si>
</sst>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44" formatCode="_-&quot;£&quot;* #,##0.00_-;\-&quot;£&quot;* #,##0.00_-;_-&quot;£&quot;* &quot;-&quot;??_-;_-@_-"/>
    <numFmt numFmtId="43" formatCode="_-* #,##0.00_-;\-* #,##0.00_-;_-* &quot;-&quot;??_-;_-@_-"/>
    <numFmt numFmtId="164" formatCode="dd/mm/yyyy;@"/>
    <numFmt numFmtId="165" formatCode="&quot;£&quot;#,##0.00"/>
  </numFmts>
  <fonts count="1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u/>
      <sz val="11"/>
      <color theme="1"/>
      <name val="Aptos Narrow"/>
      <family val="2"/>
      <scheme val="minor"/>
    </font>
    <font>
      <sz val="9"/>
      <color indexed="81"/>
      <name val="Tahoma"/>
      <family val="2"/>
    </font>
    <font>
      <b/>
      <sz val="9"/>
      <color indexed="81"/>
      <name val="Tahoma"/>
      <family val="2"/>
    </font>
    <font>
      <sz val="18"/>
      <color theme="1"/>
      <name val="Aptos Narrow"/>
      <family val="2"/>
      <scheme val="minor"/>
    </font>
    <font>
      <u/>
      <sz val="11"/>
      <color theme="10"/>
      <name val="Aptos Narrow"/>
      <family val="2"/>
      <scheme val="minor"/>
    </font>
    <font>
      <b/>
      <sz val="12"/>
      <color theme="1"/>
      <name val="Aptos Narrow"/>
      <family val="2"/>
      <scheme val="minor"/>
    </font>
    <font>
      <sz val="12"/>
      <color theme="1"/>
      <name val="Aptos Narrow"/>
      <family val="2"/>
      <scheme val="minor"/>
    </font>
    <font>
      <u/>
      <sz val="11"/>
      <color theme="1"/>
      <name val="Aptos Narrow"/>
      <family val="2"/>
      <scheme val="minor"/>
    </font>
    <font>
      <sz val="12"/>
      <name val="Calibri"/>
      <family val="2"/>
    </font>
    <font>
      <u/>
      <sz val="12"/>
      <color theme="1"/>
      <name val="Aptos Narrow"/>
      <family val="2"/>
      <scheme val="minor"/>
    </font>
    <font>
      <sz val="12"/>
      <color rgb="FF000000"/>
      <name val="Calibri"/>
      <family val="2"/>
    </font>
    <font>
      <sz val="11"/>
      <name val="Calibri"/>
      <family val="2"/>
    </font>
    <font>
      <sz val="8"/>
      <color rgb="FF000000"/>
      <name val="Arial"/>
      <family val="2"/>
    </font>
    <font>
      <sz val="8"/>
      <color rgb="FFFF0000"/>
      <name val="Arial"/>
      <family val="2"/>
    </font>
    <font>
      <b/>
      <sz val="11"/>
      <color rgb="FFFF0000"/>
      <name val="Aptos Narrow"/>
      <family val="2"/>
      <scheme val="minor"/>
    </font>
  </fonts>
  <fills count="22">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5F3AD"/>
        <bgColor indexed="64"/>
      </patternFill>
    </fill>
    <fill>
      <patternFill patternType="solid">
        <fgColor rgb="FFCCFF66"/>
        <bgColor indexed="64"/>
      </patternFill>
    </fill>
    <fill>
      <patternFill patternType="solid">
        <fgColor rgb="FF99FF66"/>
        <bgColor indexed="64"/>
      </patternFill>
    </fill>
    <fill>
      <patternFill patternType="solid">
        <fgColor theme="4" tint="0.39997558519241921"/>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rgb="FFAEAEAE"/>
      </left>
      <right/>
      <top style="medium">
        <color rgb="FFAEAEAE"/>
      </top>
      <bottom style="medium">
        <color rgb="FFAEAEAE"/>
      </bottom>
      <diagonal/>
    </border>
    <border>
      <left style="medium">
        <color rgb="FFAEAEAE"/>
      </left>
      <right style="medium">
        <color rgb="FFAEAEAE"/>
      </right>
      <top style="medium">
        <color rgb="FFAEAEAE"/>
      </top>
      <bottom style="medium">
        <color rgb="FFAEAEAE"/>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126">
    <xf numFmtId="0" fontId="0" fillId="0" borderId="0" xfId="0"/>
    <xf numFmtId="0" fontId="3" fillId="0" borderId="0" xfId="0" applyFont="1"/>
    <xf numFmtId="0" fontId="0" fillId="0" borderId="5" xfId="0" applyBorder="1"/>
    <xf numFmtId="0" fontId="4" fillId="0" borderId="0" xfId="0" applyFont="1"/>
    <xf numFmtId="0" fontId="0" fillId="0" borderId="13" xfId="0" applyBorder="1"/>
    <xf numFmtId="0" fontId="0" fillId="0" borderId="14" xfId="0" applyBorder="1"/>
    <xf numFmtId="0" fontId="0" fillId="2" borderId="10" xfId="0" applyFill="1" applyBorder="1"/>
    <xf numFmtId="0" fontId="0" fillId="2" borderId="11" xfId="0" applyFill="1" applyBorder="1"/>
    <xf numFmtId="0" fontId="0" fillId="2" borderId="12" xfId="0" applyFill="1" applyBorder="1"/>
    <xf numFmtId="0" fontId="0" fillId="3" borderId="6" xfId="0" applyFill="1" applyBorder="1"/>
    <xf numFmtId="0" fontId="0" fillId="3" borderId="7" xfId="0" applyFill="1" applyBorder="1"/>
    <xf numFmtId="0" fontId="0" fillId="4" borderId="0" xfId="0" applyFill="1"/>
    <xf numFmtId="0" fontId="0" fillId="3" borderId="3" xfId="0" applyFill="1" applyBorder="1"/>
    <xf numFmtId="0" fontId="0" fillId="3" borderId="4" xfId="0" applyFill="1" applyBorder="1"/>
    <xf numFmtId="0" fontId="0" fillId="6" borderId="1" xfId="0" applyFill="1" applyBorder="1"/>
    <xf numFmtId="0" fontId="0" fillId="0" borderId="0" xfId="0" applyAlignment="1">
      <alignment wrapText="1"/>
    </xf>
    <xf numFmtId="0" fontId="4" fillId="0" borderId="5" xfId="0" applyFont="1" applyBorder="1"/>
    <xf numFmtId="0" fontId="4" fillId="7" borderId="2" xfId="0" applyFont="1" applyFill="1" applyBorder="1"/>
    <xf numFmtId="0" fontId="0" fillId="7" borderId="3" xfId="0" applyFill="1" applyBorder="1"/>
    <xf numFmtId="0" fontId="0" fillId="7" borderId="3" xfId="0" applyFill="1" applyBorder="1" applyAlignment="1">
      <alignment wrapText="1"/>
    </xf>
    <xf numFmtId="0" fontId="0" fillId="7" borderId="4" xfId="0" applyFill="1" applyBorder="1"/>
    <xf numFmtId="0" fontId="0" fillId="7" borderId="6" xfId="0" applyFill="1" applyBorder="1"/>
    <xf numFmtId="0" fontId="0" fillId="7" borderId="7" xfId="0" applyFill="1" applyBorder="1"/>
    <xf numFmtId="0" fontId="3" fillId="0" borderId="0" xfId="0" applyFont="1" applyAlignment="1">
      <alignment wrapText="1"/>
    </xf>
    <xf numFmtId="0" fontId="3" fillId="0" borderId="5" xfId="0" applyFont="1" applyBorder="1"/>
    <xf numFmtId="0" fontId="3" fillId="9" borderId="11" xfId="0" applyFont="1" applyFill="1" applyBorder="1"/>
    <xf numFmtId="0" fontId="0" fillId="10" borderId="15" xfId="0" applyFill="1" applyBorder="1"/>
    <xf numFmtId="0" fontId="0" fillId="4" borderId="12" xfId="0" applyFill="1" applyBorder="1"/>
    <xf numFmtId="164" fontId="0" fillId="0" borderId="0" xfId="0" applyNumberFormat="1"/>
    <xf numFmtId="0" fontId="7" fillId="0" borderId="0" xfId="0" applyFont="1"/>
    <xf numFmtId="164" fontId="0" fillId="6" borderId="1" xfId="0" applyNumberFormat="1" applyFill="1" applyBorder="1"/>
    <xf numFmtId="0" fontId="0" fillId="2" borderId="1" xfId="0" applyFill="1" applyBorder="1"/>
    <xf numFmtId="0" fontId="3" fillId="5" borderId="1" xfId="0" applyFont="1" applyFill="1" applyBorder="1"/>
    <xf numFmtId="0" fontId="0" fillId="0" borderId="19" xfId="0" applyBorder="1"/>
    <xf numFmtId="0" fontId="0" fillId="0" borderId="20" xfId="0" applyBorder="1"/>
    <xf numFmtId="0" fontId="4" fillId="11" borderId="2" xfId="0" applyFont="1" applyFill="1" applyBorder="1"/>
    <xf numFmtId="0" fontId="0" fillId="11" borderId="7" xfId="0" applyFill="1" applyBorder="1"/>
    <xf numFmtId="9" fontId="0" fillId="11" borderId="7" xfId="2" applyFont="1" applyFill="1" applyBorder="1"/>
    <xf numFmtId="0" fontId="0" fillId="2" borderId="17" xfId="0" applyFill="1" applyBorder="1" applyAlignment="1">
      <alignment wrapText="1"/>
    </xf>
    <xf numFmtId="0" fontId="3" fillId="9" borderId="10" xfId="0" applyFont="1" applyFill="1" applyBorder="1"/>
    <xf numFmtId="0" fontId="3" fillId="9" borderId="12" xfId="0" applyFont="1" applyFill="1" applyBorder="1"/>
    <xf numFmtId="0" fontId="0" fillId="8" borderId="6" xfId="0" applyFill="1" applyBorder="1"/>
    <xf numFmtId="0" fontId="0" fillId="8" borderId="7" xfId="0" applyFill="1" applyBorder="1"/>
    <xf numFmtId="0" fontId="0" fillId="8" borderId="8" xfId="0" applyFill="1" applyBorder="1"/>
    <xf numFmtId="0" fontId="0" fillId="12" borderId="8" xfId="0" applyFill="1" applyBorder="1"/>
    <xf numFmtId="0" fontId="0" fillId="13" borderId="15" xfId="0" applyFill="1" applyBorder="1"/>
    <xf numFmtId="0" fontId="3" fillId="9" borderId="21" xfId="0" applyFont="1" applyFill="1" applyBorder="1"/>
    <xf numFmtId="0" fontId="0" fillId="14" borderId="8" xfId="0" applyFill="1" applyBorder="1"/>
    <xf numFmtId="0" fontId="0" fillId="14" borderId="1" xfId="0" applyFill="1" applyBorder="1"/>
    <xf numFmtId="0" fontId="0" fillId="15" borderId="5" xfId="0" applyFill="1" applyBorder="1"/>
    <xf numFmtId="165" fontId="0" fillId="15" borderId="5" xfId="0" applyNumberFormat="1" applyFill="1" applyBorder="1"/>
    <xf numFmtId="165" fontId="2" fillId="15" borderId="5" xfId="0" applyNumberFormat="1" applyFont="1" applyFill="1" applyBorder="1"/>
    <xf numFmtId="165" fontId="0" fillId="0" borderId="0" xfId="0" applyNumberFormat="1"/>
    <xf numFmtId="0" fontId="4" fillId="0" borderId="0" xfId="0" applyFont="1" applyAlignment="1">
      <alignment horizontal="left" vertical="center" wrapText="1"/>
    </xf>
    <xf numFmtId="0" fontId="0" fillId="0" borderId="0" xfId="0" applyAlignment="1">
      <alignment horizontal="center"/>
    </xf>
    <xf numFmtId="0" fontId="3" fillId="0" borderId="9" xfId="0" applyFont="1" applyBorder="1"/>
    <xf numFmtId="0" fontId="3" fillId="0" borderId="13" xfId="0" applyFont="1" applyBorder="1"/>
    <xf numFmtId="0" fontId="0" fillId="0" borderId="0" xfId="0" applyAlignment="1">
      <alignment horizontal="center" wrapText="1"/>
    </xf>
    <xf numFmtId="0" fontId="0" fillId="0" borderId="5" xfId="0" applyBorder="1" applyAlignment="1">
      <alignment horizontal="center" vertical="center" wrapText="1"/>
    </xf>
    <xf numFmtId="0" fontId="0" fillId="15" borderId="5" xfId="0" applyFill="1" applyBorder="1" applyAlignment="1">
      <alignment horizontal="center" vertical="center" wrapText="1"/>
    </xf>
    <xf numFmtId="0" fontId="0" fillId="0" borderId="5" xfId="0" applyBorder="1" applyAlignment="1">
      <alignment horizontal="center" vertical="center"/>
    </xf>
    <xf numFmtId="165" fontId="0" fillId="15" borderId="5" xfId="0" applyNumberFormat="1" applyFill="1" applyBorder="1" applyAlignment="1">
      <alignment horizontal="center" vertical="center"/>
    </xf>
    <xf numFmtId="165" fontId="2" fillId="15" borderId="5" xfId="0" applyNumberFormat="1" applyFont="1" applyFill="1" applyBorder="1" applyAlignment="1">
      <alignment horizontal="center" vertical="center"/>
    </xf>
    <xf numFmtId="10" fontId="0" fillId="0" borderId="0" xfId="2" applyNumberFormat="1" applyFont="1" applyAlignment="1">
      <alignment horizontal="center"/>
    </xf>
    <xf numFmtId="0" fontId="9" fillId="0" borderId="0" xfId="0" applyFont="1" applyAlignment="1">
      <alignment horizontal="left" vertical="center"/>
    </xf>
    <xf numFmtId="0" fontId="8" fillId="0" borderId="0" xfId="3" applyFill="1" applyBorder="1" applyAlignment="1">
      <alignment horizontal="left" vertical="center"/>
    </xf>
    <xf numFmtId="0" fontId="10" fillId="0" borderId="0" xfId="0" applyFont="1" applyAlignment="1">
      <alignment horizontal="center" vertical="center" wrapText="1"/>
    </xf>
    <xf numFmtId="0" fontId="10" fillId="0" borderId="0" xfId="0" applyFont="1"/>
    <xf numFmtId="165" fontId="10" fillId="0" borderId="0" xfId="0" applyNumberFormat="1" applyFont="1"/>
    <xf numFmtId="165" fontId="10" fillId="0" borderId="0" xfId="0" applyNumberFormat="1" applyFont="1" applyAlignment="1">
      <alignment horizontal="center" vertical="center" wrapText="1"/>
    </xf>
    <xf numFmtId="0" fontId="9" fillId="0" borderId="0" xfId="0" applyFont="1"/>
    <xf numFmtId="0" fontId="11" fillId="0" borderId="0" xfId="0" applyFont="1"/>
    <xf numFmtId="165" fontId="12" fillId="0" borderId="0" xfId="0" applyNumberFormat="1" applyFont="1"/>
    <xf numFmtId="8" fontId="12" fillId="0" borderId="0" xfId="0" applyNumberFormat="1" applyFont="1" applyAlignment="1">
      <alignment wrapText="1"/>
    </xf>
    <xf numFmtId="0" fontId="13" fillId="0" borderId="0" xfId="0" applyFont="1" applyAlignment="1">
      <alignment horizontal="left" vertical="center"/>
    </xf>
    <xf numFmtId="0" fontId="13" fillId="0" borderId="0" xfId="0" applyFont="1"/>
    <xf numFmtId="0" fontId="12" fillId="0" borderId="0" xfId="0" applyFont="1" applyAlignment="1">
      <alignment wrapText="1"/>
    </xf>
    <xf numFmtId="0" fontId="10" fillId="0" borderId="0" xfId="0" applyFont="1" applyAlignment="1">
      <alignment horizontal="left" vertical="center"/>
    </xf>
    <xf numFmtId="9" fontId="10" fillId="0" borderId="0" xfId="0" applyNumberFormat="1" applyFont="1"/>
    <xf numFmtId="44" fontId="10" fillId="0" borderId="0" xfId="0" applyNumberFormat="1" applyFont="1"/>
    <xf numFmtId="165" fontId="12" fillId="0" borderId="0" xfId="0" applyNumberFormat="1" applyFont="1" applyAlignment="1">
      <alignment wrapText="1"/>
    </xf>
    <xf numFmtId="8" fontId="14" fillId="0" borderId="0" xfId="0" applyNumberFormat="1" applyFont="1"/>
    <xf numFmtId="165" fontId="14" fillId="0" borderId="0" xfId="0" applyNumberFormat="1" applyFont="1" applyAlignment="1">
      <alignment wrapText="1"/>
    </xf>
    <xf numFmtId="8" fontId="12" fillId="0" borderId="0" xfId="0" applyNumberFormat="1" applyFont="1"/>
    <xf numFmtId="0" fontId="12" fillId="0" borderId="0" xfId="0" applyFont="1"/>
    <xf numFmtId="0" fontId="14" fillId="0" borderId="0" xfId="0" applyFont="1" applyAlignment="1">
      <alignment wrapText="1"/>
    </xf>
    <xf numFmtId="0" fontId="15" fillId="0" borderId="0" xfId="0" applyFont="1" applyAlignment="1">
      <alignment wrapText="1"/>
    </xf>
    <xf numFmtId="8" fontId="15" fillId="0" borderId="0" xfId="0" applyNumberFormat="1" applyFont="1"/>
    <xf numFmtId="0" fontId="16" fillId="0" borderId="0" xfId="0" applyFont="1" applyAlignment="1">
      <alignment horizontal="right" vertical="top" wrapText="1" readingOrder="1"/>
    </xf>
    <xf numFmtId="0" fontId="17" fillId="0" borderId="0" xfId="0" applyFont="1" applyAlignment="1">
      <alignment horizontal="right" vertical="top" wrapText="1" readingOrder="1"/>
    </xf>
    <xf numFmtId="8" fontId="0" fillId="0" borderId="0" xfId="0" applyNumberFormat="1"/>
    <xf numFmtId="8" fontId="10" fillId="0" borderId="0" xfId="0" applyNumberFormat="1" applyFont="1" applyAlignment="1">
      <alignment horizontal="center" vertical="center" wrapText="1"/>
    </xf>
    <xf numFmtId="9" fontId="0" fillId="17" borderId="6" xfId="2" applyFont="1" applyFill="1" applyBorder="1"/>
    <xf numFmtId="0" fontId="0" fillId="18" borderId="1" xfId="0" applyFill="1" applyBorder="1"/>
    <xf numFmtId="0" fontId="0" fillId="19" borderId="3" xfId="0" applyFill="1" applyBorder="1"/>
    <xf numFmtId="0" fontId="0" fillId="19" borderId="4" xfId="0" applyFill="1" applyBorder="1"/>
    <xf numFmtId="0" fontId="0" fillId="19" borderId="7" xfId="0" applyFill="1" applyBorder="1"/>
    <xf numFmtId="0" fontId="0" fillId="20" borderId="8" xfId="0" applyFill="1" applyBorder="1"/>
    <xf numFmtId="0" fontId="0" fillId="5" borderId="3" xfId="0" applyFill="1" applyBorder="1"/>
    <xf numFmtId="0" fontId="0" fillId="5" borderId="4" xfId="0" applyFill="1" applyBorder="1"/>
    <xf numFmtId="0" fontId="0" fillId="5" borderId="6" xfId="0" applyFill="1" applyBorder="1"/>
    <xf numFmtId="0" fontId="0" fillId="5" borderId="7" xfId="0" applyFill="1" applyBorder="1"/>
    <xf numFmtId="0" fontId="0" fillId="21" borderId="8" xfId="0" applyFill="1" applyBorder="1"/>
    <xf numFmtId="0" fontId="4" fillId="3" borderId="2" xfId="0" applyFont="1" applyFill="1" applyBorder="1"/>
    <xf numFmtId="0" fontId="4" fillId="5" borderId="2" xfId="0" applyFont="1" applyFill="1" applyBorder="1"/>
    <xf numFmtId="0" fontId="4" fillId="19" borderId="2" xfId="0" applyFont="1" applyFill="1" applyBorder="1"/>
    <xf numFmtId="0" fontId="18" fillId="4" borderId="0" xfId="0" applyFont="1" applyFill="1"/>
    <xf numFmtId="0" fontId="0" fillId="3" borderId="16" xfId="0" applyFill="1" applyBorder="1"/>
    <xf numFmtId="0" fontId="0" fillId="3" borderId="22" xfId="0" applyFill="1" applyBorder="1"/>
    <xf numFmtId="0" fontId="0" fillId="12" borderId="23" xfId="0" applyFill="1" applyBorder="1"/>
    <xf numFmtId="2" fontId="16" fillId="2" borderId="24" xfId="0" applyNumberFormat="1" applyFont="1" applyFill="1" applyBorder="1" applyAlignment="1">
      <alignment vertical="center" wrapText="1"/>
    </xf>
    <xf numFmtId="0" fontId="16" fillId="2" borderId="24" xfId="0" applyFont="1" applyFill="1" applyBorder="1" applyAlignment="1">
      <alignment vertical="center" wrapText="1"/>
    </xf>
    <xf numFmtId="0" fontId="16" fillId="16" borderId="25" xfId="0" applyFont="1" applyFill="1" applyBorder="1" applyAlignment="1">
      <alignment horizontal="left" vertical="center" wrapText="1"/>
    </xf>
    <xf numFmtId="0" fontId="16" fillId="6" borderId="25" xfId="0" applyFont="1" applyFill="1" applyBorder="1" applyAlignment="1">
      <alignment horizontal="left" vertical="center" wrapText="1"/>
    </xf>
    <xf numFmtId="0" fontId="16" fillId="2" borderId="25" xfId="0" applyFont="1" applyFill="1" applyBorder="1" applyAlignment="1">
      <alignment horizontal="left" vertical="center" wrapText="1"/>
    </xf>
    <xf numFmtId="8" fontId="0" fillId="0" borderId="0" xfId="0" applyNumberFormat="1" applyAlignment="1">
      <alignment horizontal="center"/>
    </xf>
    <xf numFmtId="43" fontId="0" fillId="16" borderId="21" xfId="1" applyFont="1" applyFill="1" applyBorder="1" applyAlignment="1">
      <alignment horizontal="center"/>
    </xf>
    <xf numFmtId="43" fontId="0" fillId="16" borderId="16" xfId="1" applyFont="1" applyFill="1" applyBorder="1" applyAlignment="1">
      <alignment horizontal="center"/>
    </xf>
    <xf numFmtId="0" fontId="0" fillId="0" borderId="0" xfId="0" applyAlignment="1">
      <alignment horizontal="center"/>
    </xf>
    <xf numFmtId="0" fontId="0" fillId="15" borderId="5" xfId="0" applyFill="1" applyBorder="1"/>
    <xf numFmtId="0" fontId="0" fillId="0" borderId="18"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12" fillId="0" borderId="0" xfId="0" applyFont="1" applyAlignment="1">
      <alignment horizontal="center" wrapText="1"/>
    </xf>
    <xf numFmtId="8" fontId="12" fillId="0" borderId="0" xfId="0" applyNumberFormat="1" applyFont="1" applyAlignment="1">
      <alignment wrapText="1"/>
    </xf>
    <xf numFmtId="0" fontId="12" fillId="0" borderId="0" xfId="0" applyFont="1" applyAlignment="1">
      <alignment wrapText="1"/>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colors>
    <mruColors>
      <color rgb="FF99FF66"/>
      <color rgb="FFCCFF66"/>
      <color rgb="FFF5F3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lp1\AppData\Local\Microsoft\Windows\INetCache\Content.Outlook\CB5DEPKL\Revsd%2031%20Mrch%20Interim%20CSE%20Cost%20Calculator%2021-22%20v13.1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E Calc"/>
      <sheetName val="Description"/>
      <sheetName val="Rates"/>
      <sheetName val="Dropdowns"/>
    </sheetNames>
    <sheetDataSet>
      <sheetData sheetId="0">
        <row r="25">
          <cell r="B25" t="str">
            <v>Supported Living</v>
          </cell>
        </row>
        <row r="27">
          <cell r="B27" t="str">
            <v>United Response</v>
          </cell>
        </row>
        <row r="33">
          <cell r="B33">
            <v>20</v>
          </cell>
        </row>
        <row r="37">
          <cell r="D37">
            <v>245.55</v>
          </cell>
        </row>
        <row r="39">
          <cell r="D39">
            <v>63</v>
          </cell>
        </row>
        <row r="44">
          <cell r="B44">
            <v>16.37</v>
          </cell>
        </row>
        <row r="45">
          <cell r="B45">
            <v>4.2</v>
          </cell>
        </row>
        <row r="49">
          <cell r="B49" t="str">
            <v>Yes</v>
          </cell>
        </row>
      </sheetData>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file:///C:\Users\jt44\AppData\Local\Microsoft\Windows\INetCache\Content.Outlook\WG4026H0\2018-2026%20HBC%20Rates_.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90FB-0982-4AC7-B456-9484B49E916B}">
  <dimension ref="A1:L31"/>
  <sheetViews>
    <sheetView tabSelected="1" zoomScale="90" zoomScaleNormal="90" workbookViewId="0">
      <selection activeCell="E31" sqref="E31"/>
    </sheetView>
  </sheetViews>
  <sheetFormatPr defaultRowHeight="14.5" x14ac:dyDescent="0.35"/>
  <cols>
    <col min="1" max="1" width="38.26953125" bestFit="1" customWidth="1"/>
    <col min="2" max="2" width="33.7265625" customWidth="1"/>
    <col min="3" max="3" width="8.1796875" customWidth="1"/>
    <col min="4" max="4" width="35.81640625" customWidth="1"/>
    <col min="5" max="5" width="15" customWidth="1"/>
    <col min="6" max="6" width="15.54296875" bestFit="1" customWidth="1"/>
    <col min="7" max="7" width="32.81640625" bestFit="1" customWidth="1"/>
    <col min="8" max="8" width="15.26953125" customWidth="1"/>
    <col min="9" max="9" width="20.1796875" bestFit="1" customWidth="1"/>
    <col min="10" max="10" width="32.81640625" bestFit="1" customWidth="1"/>
    <col min="11" max="11" width="17.54296875" customWidth="1"/>
  </cols>
  <sheetData>
    <row r="1" spans="1:11" ht="15" thickBot="1" x14ac:dyDescent="0.4"/>
    <row r="2" spans="1:11" ht="15" thickBot="1" x14ac:dyDescent="0.4">
      <c r="A2" t="s">
        <v>0</v>
      </c>
      <c r="B2" s="14"/>
      <c r="D2" s="103" t="s">
        <v>6</v>
      </c>
      <c r="G2" s="104" t="s">
        <v>227</v>
      </c>
      <c r="H2" s="106" t="s">
        <v>230</v>
      </c>
    </row>
    <row r="3" spans="1:11" ht="15" thickBot="1" x14ac:dyDescent="0.4">
      <c r="D3" s="12" t="s">
        <v>7</v>
      </c>
      <c r="E3" s="107"/>
      <c r="G3" s="98" t="s">
        <v>7</v>
      </c>
      <c r="H3" s="100"/>
    </row>
    <row r="4" spans="1:11" ht="15" thickBot="1" x14ac:dyDescent="0.4">
      <c r="A4" t="s">
        <v>1</v>
      </c>
      <c r="B4" s="14"/>
      <c r="D4" s="12" t="s">
        <v>8</v>
      </c>
      <c r="E4" s="108"/>
      <c r="G4" s="98" t="s">
        <v>8</v>
      </c>
      <c r="H4" s="101"/>
    </row>
    <row r="5" spans="1:11" ht="15" thickBot="1" x14ac:dyDescent="0.4">
      <c r="D5" s="12" t="s">
        <v>9</v>
      </c>
      <c r="E5" s="108"/>
      <c r="G5" s="98" t="s">
        <v>9</v>
      </c>
      <c r="H5" s="101"/>
    </row>
    <row r="6" spans="1:11" ht="15" thickBot="1" x14ac:dyDescent="0.4">
      <c r="A6" t="s">
        <v>2</v>
      </c>
      <c r="B6" s="30"/>
      <c r="C6" s="28"/>
      <c r="D6" s="13" t="s">
        <v>10</v>
      </c>
      <c r="E6" s="109">
        <f>IF(E3=0,E4*E5,E3*E5)</f>
        <v>0</v>
      </c>
      <c r="G6" s="99" t="s">
        <v>10</v>
      </c>
      <c r="H6" s="102">
        <f>IF(H3=0,H4*H5,H3*H5)</f>
        <v>0</v>
      </c>
    </row>
    <row r="8" spans="1:11" ht="15" thickBot="1" x14ac:dyDescent="0.4">
      <c r="D8" s="3" t="s">
        <v>11</v>
      </c>
    </row>
    <row r="9" spans="1:11" ht="44" thickBot="1" x14ac:dyDescent="0.4">
      <c r="A9" t="s">
        <v>187</v>
      </c>
      <c r="B9" s="93"/>
      <c r="D9" s="31" t="s">
        <v>12</v>
      </c>
      <c r="E9" s="6" t="s">
        <v>13</v>
      </c>
      <c r="F9" s="38" t="s">
        <v>14</v>
      </c>
      <c r="G9" s="7" t="s">
        <v>15</v>
      </c>
      <c r="H9" s="7" t="s">
        <v>9</v>
      </c>
      <c r="I9" s="8" t="s">
        <v>10</v>
      </c>
    </row>
    <row r="10" spans="1:11" ht="15" thickBot="1" x14ac:dyDescent="0.4">
      <c r="D10" s="34"/>
      <c r="E10" s="33"/>
      <c r="F10" s="5"/>
      <c r="G10" s="5"/>
      <c r="H10" s="5"/>
      <c r="I10" s="45">
        <f>SUM(F10*G10*H10)</f>
        <v>0</v>
      </c>
    </row>
    <row r="11" spans="1:11" ht="15" thickBot="1" x14ac:dyDescent="0.4">
      <c r="A11" t="s">
        <v>3</v>
      </c>
      <c r="B11" s="14"/>
    </row>
    <row r="12" spans="1:11" ht="15" thickBot="1" x14ac:dyDescent="0.4">
      <c r="D12" s="32" t="s">
        <v>34</v>
      </c>
      <c r="E12" s="48"/>
      <c r="G12" s="3" t="s">
        <v>22</v>
      </c>
      <c r="J12" s="1" t="s">
        <v>27</v>
      </c>
    </row>
    <row r="13" spans="1:11" ht="15" thickBot="1" x14ac:dyDescent="0.4">
      <c r="A13" t="s">
        <v>4</v>
      </c>
      <c r="B13" s="14"/>
      <c r="G13" s="39" t="s">
        <v>23</v>
      </c>
      <c r="H13" s="25" t="s">
        <v>12</v>
      </c>
      <c r="I13" s="25" t="s">
        <v>32</v>
      </c>
      <c r="J13" s="25" t="s">
        <v>24</v>
      </c>
      <c r="K13" s="27"/>
    </row>
    <row r="14" spans="1:11" ht="15" thickBot="1" x14ac:dyDescent="0.4">
      <c r="G14" s="4"/>
      <c r="H14" s="5"/>
      <c r="I14" s="5"/>
      <c r="J14" s="5"/>
      <c r="K14" s="26">
        <f>I14*J14</f>
        <v>0</v>
      </c>
    </row>
    <row r="15" spans="1:11" ht="15" thickBot="1" x14ac:dyDescent="0.4">
      <c r="A15" t="s">
        <v>5</v>
      </c>
      <c r="B15" s="93"/>
      <c r="D15" s="17" t="s">
        <v>16</v>
      </c>
    </row>
    <row r="16" spans="1:11" ht="15" thickBot="1" x14ac:dyDescent="0.4">
      <c r="D16" s="18" t="s">
        <v>12</v>
      </c>
      <c r="E16" s="21"/>
      <c r="G16" s="3" t="s">
        <v>25</v>
      </c>
    </row>
    <row r="17" spans="1:12" ht="29.5" thickBot="1" x14ac:dyDescent="0.4">
      <c r="A17" t="s">
        <v>31</v>
      </c>
      <c r="B17" s="93"/>
      <c r="D17" s="19" t="s">
        <v>17</v>
      </c>
      <c r="E17" s="22"/>
      <c r="G17" s="39" t="s">
        <v>23</v>
      </c>
      <c r="H17" s="25" t="s">
        <v>12</v>
      </c>
      <c r="I17" s="46" t="s">
        <v>33</v>
      </c>
      <c r="J17" s="40" t="s">
        <v>26</v>
      </c>
    </row>
    <row r="18" spans="1:12" ht="15" thickBot="1" x14ac:dyDescent="0.4">
      <c r="D18" s="18" t="s">
        <v>18</v>
      </c>
      <c r="E18" s="22"/>
      <c r="G18" s="4"/>
      <c r="H18" s="5"/>
      <c r="I18" s="33"/>
      <c r="J18" s="26">
        <f>I18</f>
        <v>0</v>
      </c>
      <c r="L18" s="23"/>
    </row>
    <row r="19" spans="1:12" x14ac:dyDescent="0.35">
      <c r="D19" s="18" t="s">
        <v>19</v>
      </c>
      <c r="E19" s="22"/>
    </row>
    <row r="20" spans="1:12" ht="15" thickBot="1" x14ac:dyDescent="0.4">
      <c r="D20" s="20" t="s">
        <v>20</v>
      </c>
      <c r="E20" s="47">
        <f>E17+E19</f>
        <v>0</v>
      </c>
    </row>
    <row r="21" spans="1:12" ht="15" thickBot="1" x14ac:dyDescent="0.4">
      <c r="A21" s="3" t="s">
        <v>21</v>
      </c>
      <c r="G21" s="105" t="s">
        <v>228</v>
      </c>
      <c r="H21" s="11"/>
    </row>
    <row r="22" spans="1:12" ht="15" thickBot="1" x14ac:dyDescent="0.4">
      <c r="A22" t="s">
        <v>36</v>
      </c>
      <c r="B22" s="41">
        <f>E6+I10+E20+J18+K14+E12+H6+H24+E31</f>
        <v>0</v>
      </c>
      <c r="G22" s="94" t="s">
        <v>229</v>
      </c>
      <c r="H22" s="96"/>
    </row>
    <row r="23" spans="1:12" ht="15" thickBot="1" x14ac:dyDescent="0.4">
      <c r="A23" t="s">
        <v>37</v>
      </c>
      <c r="B23" s="42">
        <f>E24*B22</f>
        <v>0</v>
      </c>
      <c r="D23" s="35" t="s">
        <v>28</v>
      </c>
      <c r="G23" s="94" t="s">
        <v>9</v>
      </c>
      <c r="H23" s="96"/>
    </row>
    <row r="24" spans="1:12" ht="15" thickBot="1" x14ac:dyDescent="0.4">
      <c r="A24" t="s">
        <v>38</v>
      </c>
      <c r="B24" s="43">
        <f>E25*B22</f>
        <v>0</v>
      </c>
      <c r="D24" s="36" t="s">
        <v>29</v>
      </c>
      <c r="E24" s="92">
        <f>IF(E25&lt;=100%,100%-E25)</f>
        <v>1</v>
      </c>
      <c r="F24" t="s">
        <v>35</v>
      </c>
      <c r="G24" s="95" t="s">
        <v>10</v>
      </c>
      <c r="H24" s="97">
        <f>H22*H23</f>
        <v>0</v>
      </c>
    </row>
    <row r="25" spans="1:12" x14ac:dyDescent="0.35">
      <c r="D25" s="36" t="s">
        <v>30</v>
      </c>
      <c r="E25" s="37"/>
    </row>
    <row r="26" spans="1:12" ht="15" thickBot="1" x14ac:dyDescent="0.4"/>
    <row r="27" spans="1:12" ht="15" thickBot="1" x14ac:dyDescent="0.4">
      <c r="D27" s="103" t="s">
        <v>201</v>
      </c>
      <c r="E27" s="11"/>
    </row>
    <row r="28" spans="1:12" ht="23.5" x14ac:dyDescent="0.55000000000000004">
      <c r="C28" s="29"/>
      <c r="D28" s="12" t="s">
        <v>7</v>
      </c>
      <c r="E28" s="9"/>
    </row>
    <row r="29" spans="1:12" x14ac:dyDescent="0.35">
      <c r="D29" s="12" t="s">
        <v>232</v>
      </c>
      <c r="E29" s="10"/>
    </row>
    <row r="30" spans="1:12" x14ac:dyDescent="0.35">
      <c r="D30" s="12" t="s">
        <v>231</v>
      </c>
      <c r="E30" s="10"/>
      <c r="F30" t="s">
        <v>233</v>
      </c>
    </row>
    <row r="31" spans="1:12" ht="15" thickBot="1" x14ac:dyDescent="0.4">
      <c r="D31" s="13" t="s">
        <v>10</v>
      </c>
      <c r="E31" s="44">
        <f>E29*E30*E28</f>
        <v>0</v>
      </c>
    </row>
  </sheetData>
  <dataValidations count="5">
    <dataValidation type="list" allowBlank="1" showInputMessage="1" showErrorMessage="1" sqref="C22" xr:uid="{8242EDB2-BEBA-4C36-9638-EBEE96D435E9}">
      <formula1>"%- Health Contribution, % Health - one off, Specific Health Contribution - ongoig/one off"</formula1>
    </dataValidation>
    <dataValidation type="list" allowBlank="1" showInputMessage="1" showErrorMessage="1" sqref="J13" xr:uid="{98032273-FEB3-4FAF-BD36-50C4969B0878}">
      <formula1>"Days, Weeks, Year"</formula1>
    </dataValidation>
    <dataValidation type="list" allowBlank="1" showInputMessage="1" showErrorMessage="1" sqref="B17" xr:uid="{4A4FB86B-2A02-4D0C-B0C7-5C19980ACCA7}">
      <formula1>"Yes, No"</formula1>
    </dataValidation>
    <dataValidation type="list" allowBlank="1" showInputMessage="1" showErrorMessage="1" sqref="B15" xr:uid="{4415BAF0-F3BA-4D3A-834B-23797FD6E082}">
      <formula1>"%- Health Contribution, % Health - one off, Specific Health Contribution - ongoing/one off"</formula1>
    </dataValidation>
    <dataValidation type="list" allowBlank="1" showInputMessage="1" showErrorMessage="1" sqref="C16" xr:uid="{C05FE8EA-EAC9-47A5-BDBF-1CE08881737E}">
      <formula1>"Transforming Care, Campus, s117"</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825EFFD-823C-4B7A-B56B-8A3754AA31EF}">
          <x14:formula1>
            <xm:f>Lookup!$A:$A</xm:f>
          </x14:formula1>
          <xm:sqref>B9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9DA2-E19E-435E-846D-AAF0AE4927D6}">
  <dimension ref="A1:E139"/>
  <sheetViews>
    <sheetView workbookViewId="0">
      <selection activeCell="G25" sqref="G25:G26"/>
    </sheetView>
  </sheetViews>
  <sheetFormatPr defaultColWidth="22.1796875" defaultRowHeight="14.5" x14ac:dyDescent="0.35"/>
  <sheetData>
    <row r="1" spans="1:5" ht="15" thickBot="1" x14ac:dyDescent="0.4">
      <c r="A1" s="110" t="s">
        <v>234</v>
      </c>
      <c r="B1" s="111" t="s">
        <v>235</v>
      </c>
      <c r="C1" s="112" t="s">
        <v>236</v>
      </c>
      <c r="D1" s="112" t="s">
        <v>237</v>
      </c>
      <c r="E1" s="113" t="s">
        <v>238</v>
      </c>
    </row>
    <row r="2" spans="1:5" ht="15" thickBot="1" x14ac:dyDescent="0.4">
      <c r="A2" s="114">
        <v>103812</v>
      </c>
      <c r="B2" s="114" t="s">
        <v>239</v>
      </c>
      <c r="C2" s="112" t="s">
        <v>240</v>
      </c>
      <c r="D2" s="112" t="s">
        <v>241</v>
      </c>
      <c r="E2" s="113" t="s">
        <v>242</v>
      </c>
    </row>
    <row r="3" spans="1:5" ht="15" thickBot="1" x14ac:dyDescent="0.4">
      <c r="A3" s="114">
        <v>103898</v>
      </c>
      <c r="B3" s="114" t="s">
        <v>243</v>
      </c>
      <c r="C3" s="112" t="s">
        <v>244</v>
      </c>
      <c r="D3" s="112" t="s">
        <v>245</v>
      </c>
      <c r="E3" s="113" t="s">
        <v>242</v>
      </c>
    </row>
    <row r="4" spans="1:5" ht="15" thickBot="1" x14ac:dyDescent="0.4">
      <c r="A4" s="114">
        <v>103984</v>
      </c>
      <c r="B4" s="114" t="s">
        <v>246</v>
      </c>
      <c r="C4" s="112" t="s">
        <v>247</v>
      </c>
      <c r="D4" s="112" t="s">
        <v>248</v>
      </c>
      <c r="E4" s="113" t="s">
        <v>242</v>
      </c>
    </row>
    <row r="5" spans="1:5" ht="15" thickBot="1" x14ac:dyDescent="0.4">
      <c r="A5" s="114">
        <v>104070</v>
      </c>
      <c r="B5" s="114" t="s">
        <v>249</v>
      </c>
      <c r="C5" s="112" t="s">
        <v>250</v>
      </c>
      <c r="D5" s="112" t="s">
        <v>251</v>
      </c>
      <c r="E5" s="113" t="s">
        <v>242</v>
      </c>
    </row>
    <row r="6" spans="1:5" ht="15" thickBot="1" x14ac:dyDescent="0.4">
      <c r="A6" s="114">
        <v>104156</v>
      </c>
      <c r="B6" s="114" t="s">
        <v>252</v>
      </c>
      <c r="C6" s="112" t="s">
        <v>253</v>
      </c>
      <c r="D6" s="112" t="s">
        <v>254</v>
      </c>
      <c r="E6" s="113" t="s">
        <v>242</v>
      </c>
    </row>
    <row r="7" spans="1:5" ht="15" thickBot="1" x14ac:dyDescent="0.4">
      <c r="A7" s="114">
        <v>104209</v>
      </c>
      <c r="B7" s="114" t="s">
        <v>255</v>
      </c>
      <c r="C7" s="112" t="s">
        <v>256</v>
      </c>
      <c r="D7" s="112" t="s">
        <v>257</v>
      </c>
      <c r="E7" s="113" t="s">
        <v>242</v>
      </c>
    </row>
    <row r="8" spans="1:5" ht="15" thickBot="1" x14ac:dyDescent="0.4">
      <c r="A8" s="114">
        <v>104242</v>
      </c>
      <c r="B8" s="114" t="s">
        <v>258</v>
      </c>
      <c r="C8" s="112" t="s">
        <v>259</v>
      </c>
      <c r="D8" s="112" t="s">
        <v>260</v>
      </c>
      <c r="E8" s="113" t="s">
        <v>242</v>
      </c>
    </row>
    <row r="9" spans="1:5" ht="15" thickBot="1" x14ac:dyDescent="0.4">
      <c r="A9" s="114">
        <v>104328</v>
      </c>
      <c r="B9" s="114" t="s">
        <v>261</v>
      </c>
      <c r="C9" s="112" t="s">
        <v>262</v>
      </c>
      <c r="D9" s="112" t="s">
        <v>263</v>
      </c>
      <c r="E9" s="113" t="s">
        <v>242</v>
      </c>
    </row>
    <row r="10" spans="1:5" ht="15" thickBot="1" x14ac:dyDescent="0.4">
      <c r="A10" s="114">
        <v>105557</v>
      </c>
      <c r="B10" s="114" t="s">
        <v>264</v>
      </c>
      <c r="C10" s="112" t="s">
        <v>265</v>
      </c>
      <c r="D10" s="112" t="s">
        <v>266</v>
      </c>
      <c r="E10" s="113" t="s">
        <v>242</v>
      </c>
    </row>
    <row r="11" spans="1:5" ht="15" thickBot="1" x14ac:dyDescent="0.4">
      <c r="A11" s="114">
        <v>105558</v>
      </c>
      <c r="B11" s="114" t="s">
        <v>267</v>
      </c>
      <c r="C11" s="112" t="s">
        <v>240</v>
      </c>
      <c r="D11" s="112" t="s">
        <v>241</v>
      </c>
      <c r="E11" s="113" t="s">
        <v>242</v>
      </c>
    </row>
    <row r="12" spans="1:5" ht="15" thickBot="1" x14ac:dyDescent="0.4">
      <c r="A12" s="114">
        <v>105559</v>
      </c>
      <c r="B12" s="114" t="s">
        <v>268</v>
      </c>
      <c r="C12" s="112" t="s">
        <v>253</v>
      </c>
      <c r="D12" s="112" t="s">
        <v>254</v>
      </c>
      <c r="E12" s="113" t="s">
        <v>242</v>
      </c>
    </row>
    <row r="13" spans="1:5" ht="15" thickBot="1" x14ac:dyDescent="0.4">
      <c r="A13" s="114">
        <v>105560</v>
      </c>
      <c r="B13" s="114" t="s">
        <v>269</v>
      </c>
      <c r="C13" s="112" t="s">
        <v>270</v>
      </c>
      <c r="D13" s="112" t="s">
        <v>271</v>
      </c>
      <c r="E13" s="113" t="s">
        <v>242</v>
      </c>
    </row>
    <row r="14" spans="1:5" ht="15" thickBot="1" x14ac:dyDescent="0.4">
      <c r="A14" s="114">
        <v>105561</v>
      </c>
      <c r="B14" s="114" t="s">
        <v>272</v>
      </c>
      <c r="C14" s="112" t="s">
        <v>273</v>
      </c>
      <c r="D14" s="112" t="s">
        <v>274</v>
      </c>
      <c r="E14" s="113" t="s">
        <v>242</v>
      </c>
    </row>
    <row r="15" spans="1:5" ht="15" thickBot="1" x14ac:dyDescent="0.4">
      <c r="A15" s="114">
        <v>105562</v>
      </c>
      <c r="B15" s="114" t="s">
        <v>275</v>
      </c>
      <c r="C15" s="112" t="s">
        <v>276</v>
      </c>
      <c r="D15" s="112" t="s">
        <v>277</v>
      </c>
      <c r="E15" s="113" t="s">
        <v>242</v>
      </c>
    </row>
    <row r="16" spans="1:5" ht="15" thickBot="1" x14ac:dyDescent="0.4">
      <c r="A16" s="114">
        <v>105563</v>
      </c>
      <c r="B16" s="114" t="s">
        <v>278</v>
      </c>
      <c r="C16" s="112" t="s">
        <v>279</v>
      </c>
      <c r="D16" s="112" t="s">
        <v>280</v>
      </c>
      <c r="E16" s="113" t="s">
        <v>242</v>
      </c>
    </row>
    <row r="17" spans="1:5" ht="15" thickBot="1" x14ac:dyDescent="0.4">
      <c r="A17" s="114">
        <v>105564</v>
      </c>
      <c r="B17" s="114" t="s">
        <v>281</v>
      </c>
      <c r="C17" s="112" t="s">
        <v>240</v>
      </c>
      <c r="D17" s="112" t="s">
        <v>241</v>
      </c>
      <c r="E17" s="113" t="s">
        <v>242</v>
      </c>
    </row>
    <row r="18" spans="1:5" ht="15" thickBot="1" x14ac:dyDescent="0.4">
      <c r="A18" s="114">
        <v>105565</v>
      </c>
      <c r="B18" s="114" t="s">
        <v>282</v>
      </c>
      <c r="C18" s="112" t="s">
        <v>240</v>
      </c>
      <c r="D18" s="112" t="s">
        <v>241</v>
      </c>
      <c r="E18" s="113" t="s">
        <v>242</v>
      </c>
    </row>
    <row r="19" spans="1:5" ht="15" thickBot="1" x14ac:dyDescent="0.4">
      <c r="A19" s="114">
        <v>105566</v>
      </c>
      <c r="B19" s="114" t="s">
        <v>283</v>
      </c>
      <c r="C19" s="112" t="s">
        <v>240</v>
      </c>
      <c r="D19" s="112" t="s">
        <v>241</v>
      </c>
      <c r="E19" s="113" t="s">
        <v>242</v>
      </c>
    </row>
    <row r="20" spans="1:5" ht="15" thickBot="1" x14ac:dyDescent="0.4">
      <c r="A20" s="114">
        <v>105568</v>
      </c>
      <c r="B20" s="114" t="s">
        <v>284</v>
      </c>
      <c r="C20" s="112" t="s">
        <v>240</v>
      </c>
      <c r="D20" s="112" t="s">
        <v>241</v>
      </c>
      <c r="E20" s="113" t="s">
        <v>242</v>
      </c>
    </row>
    <row r="21" spans="1:5" ht="15" thickBot="1" x14ac:dyDescent="0.4">
      <c r="A21" s="114">
        <v>105569</v>
      </c>
      <c r="B21" s="114" t="s">
        <v>285</v>
      </c>
      <c r="C21" s="112" t="s">
        <v>240</v>
      </c>
      <c r="D21" s="112" t="s">
        <v>241</v>
      </c>
      <c r="E21" s="113" t="s">
        <v>242</v>
      </c>
    </row>
    <row r="22" spans="1:5" ht="15" thickBot="1" x14ac:dyDescent="0.4">
      <c r="A22" s="114">
        <v>105570</v>
      </c>
      <c r="B22" s="114" t="s">
        <v>286</v>
      </c>
      <c r="C22" s="112" t="s">
        <v>240</v>
      </c>
      <c r="D22" s="112" t="s">
        <v>241</v>
      </c>
      <c r="E22" s="113" t="s">
        <v>242</v>
      </c>
    </row>
    <row r="23" spans="1:5" ht="15" thickBot="1" x14ac:dyDescent="0.4">
      <c r="A23" s="114">
        <v>105571</v>
      </c>
      <c r="B23" s="114" t="s">
        <v>287</v>
      </c>
      <c r="C23" s="112" t="s">
        <v>240</v>
      </c>
      <c r="D23" s="112" t="s">
        <v>241</v>
      </c>
      <c r="E23" s="113" t="s">
        <v>242</v>
      </c>
    </row>
    <row r="24" spans="1:5" ht="15" thickBot="1" x14ac:dyDescent="0.4">
      <c r="A24" s="114">
        <v>105572</v>
      </c>
      <c r="B24" s="114" t="s">
        <v>288</v>
      </c>
      <c r="C24" s="112" t="s">
        <v>240</v>
      </c>
      <c r="D24" s="112" t="s">
        <v>241</v>
      </c>
      <c r="E24" s="113" t="s">
        <v>242</v>
      </c>
    </row>
    <row r="25" spans="1:5" ht="15" thickBot="1" x14ac:dyDescent="0.4">
      <c r="A25" s="114">
        <v>105573</v>
      </c>
      <c r="B25" s="114" t="s">
        <v>289</v>
      </c>
      <c r="C25" s="112" t="s">
        <v>240</v>
      </c>
      <c r="D25" s="112" t="s">
        <v>241</v>
      </c>
      <c r="E25" s="113" t="s">
        <v>242</v>
      </c>
    </row>
    <row r="26" spans="1:5" ht="15" thickBot="1" x14ac:dyDescent="0.4">
      <c r="A26" s="114">
        <v>105574</v>
      </c>
      <c r="B26" s="114" t="s">
        <v>290</v>
      </c>
      <c r="C26" s="112" t="s">
        <v>240</v>
      </c>
      <c r="D26" s="112" t="s">
        <v>241</v>
      </c>
      <c r="E26" s="113" t="s">
        <v>242</v>
      </c>
    </row>
    <row r="27" spans="1:5" ht="15" thickBot="1" x14ac:dyDescent="0.4">
      <c r="A27" s="114">
        <v>105575</v>
      </c>
      <c r="B27" s="114" t="s">
        <v>291</v>
      </c>
      <c r="C27" s="112" t="s">
        <v>240</v>
      </c>
      <c r="D27" s="112" t="s">
        <v>241</v>
      </c>
      <c r="E27" s="113" t="s">
        <v>242</v>
      </c>
    </row>
    <row r="28" spans="1:5" ht="15" thickBot="1" x14ac:dyDescent="0.4">
      <c r="A28" s="114">
        <v>105576</v>
      </c>
      <c r="B28" s="114" t="s">
        <v>292</v>
      </c>
      <c r="C28" s="112" t="s">
        <v>240</v>
      </c>
      <c r="D28" s="112" t="s">
        <v>241</v>
      </c>
      <c r="E28" s="113" t="s">
        <v>242</v>
      </c>
    </row>
    <row r="29" spans="1:5" ht="15" thickBot="1" x14ac:dyDescent="0.4">
      <c r="A29" s="114">
        <v>105577</v>
      </c>
      <c r="B29" s="114" t="s">
        <v>293</v>
      </c>
      <c r="C29" s="112" t="s">
        <v>240</v>
      </c>
      <c r="D29" s="112" t="s">
        <v>241</v>
      </c>
      <c r="E29" s="113" t="s">
        <v>242</v>
      </c>
    </row>
    <row r="30" spans="1:5" ht="15" thickBot="1" x14ac:dyDescent="0.4">
      <c r="A30" s="114">
        <v>105578</v>
      </c>
      <c r="B30" s="114" t="s">
        <v>294</v>
      </c>
      <c r="C30" s="112" t="s">
        <v>240</v>
      </c>
      <c r="D30" s="112" t="s">
        <v>241</v>
      </c>
      <c r="E30" s="113" t="s">
        <v>242</v>
      </c>
    </row>
    <row r="31" spans="1:5" ht="15" thickBot="1" x14ac:dyDescent="0.4">
      <c r="A31" s="114">
        <v>105579</v>
      </c>
      <c r="B31" s="114" t="s">
        <v>295</v>
      </c>
      <c r="C31" s="112" t="s">
        <v>240</v>
      </c>
      <c r="D31" s="112" t="s">
        <v>241</v>
      </c>
      <c r="E31" s="113" t="s">
        <v>242</v>
      </c>
    </row>
    <row r="32" spans="1:5" ht="15" thickBot="1" x14ac:dyDescent="0.4">
      <c r="A32" s="114">
        <v>105580</v>
      </c>
      <c r="B32" s="114" t="s">
        <v>296</v>
      </c>
      <c r="C32" s="112" t="s">
        <v>240</v>
      </c>
      <c r="D32" s="112" t="s">
        <v>241</v>
      </c>
      <c r="E32" s="113" t="s">
        <v>242</v>
      </c>
    </row>
    <row r="33" spans="1:5" ht="15" thickBot="1" x14ac:dyDescent="0.4">
      <c r="A33" s="114">
        <v>105581</v>
      </c>
      <c r="B33" s="114" t="s">
        <v>297</v>
      </c>
      <c r="C33" s="112" t="s">
        <v>240</v>
      </c>
      <c r="D33" s="112" t="s">
        <v>241</v>
      </c>
      <c r="E33" s="113" t="s">
        <v>242</v>
      </c>
    </row>
    <row r="34" spans="1:5" ht="15" thickBot="1" x14ac:dyDescent="0.4">
      <c r="A34" s="114">
        <v>105582</v>
      </c>
      <c r="B34" s="114" t="s">
        <v>298</v>
      </c>
      <c r="C34" s="112" t="s">
        <v>240</v>
      </c>
      <c r="D34" s="112" t="s">
        <v>241</v>
      </c>
      <c r="E34" s="113" t="s">
        <v>242</v>
      </c>
    </row>
    <row r="35" spans="1:5" ht="15" thickBot="1" x14ac:dyDescent="0.4">
      <c r="A35" s="114">
        <v>105586</v>
      </c>
      <c r="B35" s="114" t="s">
        <v>299</v>
      </c>
      <c r="C35" s="112" t="s">
        <v>244</v>
      </c>
      <c r="D35" s="112" t="s">
        <v>245</v>
      </c>
      <c r="E35" s="113" t="s">
        <v>242</v>
      </c>
    </row>
    <row r="36" spans="1:5" ht="15" thickBot="1" x14ac:dyDescent="0.4">
      <c r="A36" s="114">
        <v>105587</v>
      </c>
      <c r="B36" s="114" t="s">
        <v>300</v>
      </c>
      <c r="C36" s="112" t="s">
        <v>244</v>
      </c>
      <c r="D36" s="112" t="s">
        <v>245</v>
      </c>
      <c r="E36" s="113" t="s">
        <v>242</v>
      </c>
    </row>
    <row r="37" spans="1:5" ht="15" thickBot="1" x14ac:dyDescent="0.4">
      <c r="A37" s="114">
        <v>105588</v>
      </c>
      <c r="B37" s="114" t="s">
        <v>301</v>
      </c>
      <c r="C37" s="112" t="s">
        <v>244</v>
      </c>
      <c r="D37" s="112" t="s">
        <v>245</v>
      </c>
      <c r="E37" s="113" t="s">
        <v>242</v>
      </c>
    </row>
    <row r="38" spans="1:5" ht="15" thickBot="1" x14ac:dyDescent="0.4">
      <c r="A38" s="114">
        <v>105589</v>
      </c>
      <c r="B38" s="114" t="s">
        <v>302</v>
      </c>
      <c r="C38" s="112" t="s">
        <v>244</v>
      </c>
      <c r="D38" s="112" t="s">
        <v>245</v>
      </c>
      <c r="E38" s="113" t="s">
        <v>242</v>
      </c>
    </row>
    <row r="39" spans="1:5" ht="15" thickBot="1" x14ac:dyDescent="0.4">
      <c r="A39" s="114">
        <v>105590</v>
      </c>
      <c r="B39" s="114" t="s">
        <v>303</v>
      </c>
      <c r="C39" s="112" t="s">
        <v>244</v>
      </c>
      <c r="D39" s="112" t="s">
        <v>245</v>
      </c>
      <c r="E39" s="113" t="s">
        <v>242</v>
      </c>
    </row>
    <row r="40" spans="1:5" ht="15" thickBot="1" x14ac:dyDescent="0.4">
      <c r="A40" s="114">
        <v>105591</v>
      </c>
      <c r="B40" s="114" t="s">
        <v>304</v>
      </c>
      <c r="C40" s="112" t="s">
        <v>244</v>
      </c>
      <c r="D40" s="112" t="s">
        <v>245</v>
      </c>
      <c r="E40" s="113" t="s">
        <v>242</v>
      </c>
    </row>
    <row r="41" spans="1:5" ht="15" thickBot="1" x14ac:dyDescent="0.4">
      <c r="A41" s="114">
        <v>105592</v>
      </c>
      <c r="B41" s="114" t="s">
        <v>305</v>
      </c>
      <c r="C41" s="112" t="s">
        <v>244</v>
      </c>
      <c r="D41" s="112" t="s">
        <v>245</v>
      </c>
      <c r="E41" s="113" t="s">
        <v>242</v>
      </c>
    </row>
    <row r="42" spans="1:5" ht="15" thickBot="1" x14ac:dyDescent="0.4">
      <c r="A42" s="114">
        <v>105593</v>
      </c>
      <c r="B42" s="114" t="s">
        <v>306</v>
      </c>
      <c r="C42" s="112" t="s">
        <v>244</v>
      </c>
      <c r="D42" s="112" t="s">
        <v>245</v>
      </c>
      <c r="E42" s="113" t="s">
        <v>242</v>
      </c>
    </row>
    <row r="43" spans="1:5" ht="15" thickBot="1" x14ac:dyDescent="0.4">
      <c r="A43" s="114">
        <v>105594</v>
      </c>
      <c r="B43" s="114" t="s">
        <v>307</v>
      </c>
      <c r="C43" s="112" t="s">
        <v>244</v>
      </c>
      <c r="D43" s="112" t="s">
        <v>245</v>
      </c>
      <c r="E43" s="113" t="s">
        <v>242</v>
      </c>
    </row>
    <row r="44" spans="1:5" ht="15" thickBot="1" x14ac:dyDescent="0.4">
      <c r="A44" s="114">
        <v>105596</v>
      </c>
      <c r="B44" s="114" t="s">
        <v>308</v>
      </c>
      <c r="C44" s="112" t="s">
        <v>244</v>
      </c>
      <c r="D44" s="112" t="s">
        <v>245</v>
      </c>
      <c r="E44" s="113" t="s">
        <v>242</v>
      </c>
    </row>
    <row r="45" spans="1:5" ht="15" thickBot="1" x14ac:dyDescent="0.4">
      <c r="A45" s="114">
        <v>105597</v>
      </c>
      <c r="B45" s="114" t="s">
        <v>309</v>
      </c>
      <c r="C45" s="112" t="s">
        <v>244</v>
      </c>
      <c r="D45" s="112" t="s">
        <v>245</v>
      </c>
      <c r="E45" s="113" t="s">
        <v>242</v>
      </c>
    </row>
    <row r="46" spans="1:5" ht="15" thickBot="1" x14ac:dyDescent="0.4">
      <c r="A46" s="114">
        <v>105598</v>
      </c>
      <c r="B46" s="114" t="s">
        <v>310</v>
      </c>
      <c r="C46" s="112" t="s">
        <v>244</v>
      </c>
      <c r="D46" s="112" t="s">
        <v>245</v>
      </c>
      <c r="E46" s="113" t="s">
        <v>242</v>
      </c>
    </row>
    <row r="47" spans="1:5" ht="15" thickBot="1" x14ac:dyDescent="0.4">
      <c r="A47" s="114">
        <v>105599</v>
      </c>
      <c r="B47" s="114" t="s">
        <v>311</v>
      </c>
      <c r="C47" s="112" t="s">
        <v>244</v>
      </c>
      <c r="D47" s="112" t="s">
        <v>245</v>
      </c>
      <c r="E47" s="113" t="s">
        <v>242</v>
      </c>
    </row>
    <row r="48" spans="1:5" ht="15" thickBot="1" x14ac:dyDescent="0.4">
      <c r="A48" s="114">
        <v>105600</v>
      </c>
      <c r="B48" s="114" t="s">
        <v>312</v>
      </c>
      <c r="C48" s="112" t="s">
        <v>244</v>
      </c>
      <c r="D48" s="112" t="s">
        <v>245</v>
      </c>
      <c r="E48" s="113" t="s">
        <v>242</v>
      </c>
    </row>
    <row r="49" spans="1:5" ht="15" thickBot="1" x14ac:dyDescent="0.4">
      <c r="A49" s="114">
        <v>105601</v>
      </c>
      <c r="B49" s="114" t="s">
        <v>313</v>
      </c>
      <c r="C49" s="112" t="s">
        <v>244</v>
      </c>
      <c r="D49" s="112" t="s">
        <v>245</v>
      </c>
      <c r="E49" s="113" t="s">
        <v>242</v>
      </c>
    </row>
    <row r="50" spans="1:5" ht="15" thickBot="1" x14ac:dyDescent="0.4">
      <c r="A50" s="114">
        <v>105602</v>
      </c>
      <c r="B50" s="114" t="s">
        <v>314</v>
      </c>
      <c r="C50" s="112" t="s">
        <v>244</v>
      </c>
      <c r="D50" s="112" t="s">
        <v>245</v>
      </c>
      <c r="E50" s="113" t="s">
        <v>242</v>
      </c>
    </row>
    <row r="51" spans="1:5" ht="15" thickBot="1" x14ac:dyDescent="0.4">
      <c r="A51" s="114">
        <v>105603</v>
      </c>
      <c r="B51" s="114" t="s">
        <v>315</v>
      </c>
      <c r="C51" s="112" t="s">
        <v>244</v>
      </c>
      <c r="D51" s="112" t="s">
        <v>245</v>
      </c>
      <c r="E51" s="113" t="s">
        <v>242</v>
      </c>
    </row>
    <row r="52" spans="1:5" ht="15" thickBot="1" x14ac:dyDescent="0.4">
      <c r="A52" s="114">
        <v>105604</v>
      </c>
      <c r="B52" s="114" t="s">
        <v>316</v>
      </c>
      <c r="C52" s="112" t="s">
        <v>244</v>
      </c>
      <c r="D52" s="112" t="s">
        <v>245</v>
      </c>
      <c r="E52" s="113" t="s">
        <v>242</v>
      </c>
    </row>
    <row r="53" spans="1:5" ht="15" thickBot="1" x14ac:dyDescent="0.4">
      <c r="A53" s="114">
        <v>105605</v>
      </c>
      <c r="B53" s="114" t="s">
        <v>317</v>
      </c>
      <c r="C53" s="112" t="s">
        <v>244</v>
      </c>
      <c r="D53" s="112" t="s">
        <v>245</v>
      </c>
      <c r="E53" s="113" t="s">
        <v>242</v>
      </c>
    </row>
    <row r="54" spans="1:5" ht="15" thickBot="1" x14ac:dyDescent="0.4">
      <c r="A54" s="114">
        <v>105608</v>
      </c>
      <c r="B54" s="114" t="s">
        <v>318</v>
      </c>
      <c r="C54" s="112" t="s">
        <v>247</v>
      </c>
      <c r="D54" s="112" t="s">
        <v>248</v>
      </c>
      <c r="E54" s="113" t="s">
        <v>242</v>
      </c>
    </row>
    <row r="55" spans="1:5" ht="15" thickBot="1" x14ac:dyDescent="0.4">
      <c r="A55" s="114">
        <v>105609</v>
      </c>
      <c r="B55" s="114" t="s">
        <v>319</v>
      </c>
      <c r="C55" s="112" t="s">
        <v>247</v>
      </c>
      <c r="D55" s="112" t="s">
        <v>248</v>
      </c>
      <c r="E55" s="113" t="s">
        <v>242</v>
      </c>
    </row>
    <row r="56" spans="1:5" ht="15" thickBot="1" x14ac:dyDescent="0.4">
      <c r="A56" s="114">
        <v>105612</v>
      </c>
      <c r="B56" s="114" t="s">
        <v>320</v>
      </c>
      <c r="C56" s="112" t="s">
        <v>247</v>
      </c>
      <c r="D56" s="112" t="s">
        <v>248</v>
      </c>
      <c r="E56" s="113" t="s">
        <v>242</v>
      </c>
    </row>
    <row r="57" spans="1:5" ht="15" thickBot="1" x14ac:dyDescent="0.4">
      <c r="A57" s="114">
        <v>105613</v>
      </c>
      <c r="B57" s="114" t="s">
        <v>321</v>
      </c>
      <c r="C57" s="112" t="s">
        <v>247</v>
      </c>
      <c r="D57" s="112" t="s">
        <v>248</v>
      </c>
      <c r="E57" s="113" t="s">
        <v>242</v>
      </c>
    </row>
    <row r="58" spans="1:5" ht="15" thickBot="1" x14ac:dyDescent="0.4">
      <c r="A58" s="114">
        <v>105614</v>
      </c>
      <c r="B58" s="114" t="s">
        <v>322</v>
      </c>
      <c r="C58" s="112" t="s">
        <v>247</v>
      </c>
      <c r="D58" s="112" t="s">
        <v>248</v>
      </c>
      <c r="E58" s="113" t="s">
        <v>242</v>
      </c>
    </row>
    <row r="59" spans="1:5" ht="15" thickBot="1" x14ac:dyDescent="0.4">
      <c r="A59" s="114">
        <v>105615</v>
      </c>
      <c r="B59" s="114" t="s">
        <v>323</v>
      </c>
      <c r="C59" s="112" t="s">
        <v>247</v>
      </c>
      <c r="D59" s="112" t="s">
        <v>248</v>
      </c>
      <c r="E59" s="113" t="s">
        <v>242</v>
      </c>
    </row>
    <row r="60" spans="1:5" ht="15" thickBot="1" x14ac:dyDescent="0.4">
      <c r="A60" s="114">
        <v>105618</v>
      </c>
      <c r="B60" s="114" t="s">
        <v>324</v>
      </c>
      <c r="C60" s="112" t="s">
        <v>247</v>
      </c>
      <c r="D60" s="112" t="s">
        <v>248</v>
      </c>
      <c r="E60" s="113" t="s">
        <v>242</v>
      </c>
    </row>
    <row r="61" spans="1:5" ht="15" thickBot="1" x14ac:dyDescent="0.4">
      <c r="A61" s="114">
        <v>105619</v>
      </c>
      <c r="B61" s="114" t="s">
        <v>325</v>
      </c>
      <c r="C61" s="112" t="s">
        <v>247</v>
      </c>
      <c r="D61" s="112" t="s">
        <v>248</v>
      </c>
      <c r="E61" s="113" t="s">
        <v>242</v>
      </c>
    </row>
    <row r="62" spans="1:5" ht="15" thickBot="1" x14ac:dyDescent="0.4">
      <c r="A62" s="114">
        <v>105620</v>
      </c>
      <c r="B62" s="114" t="s">
        <v>326</v>
      </c>
      <c r="C62" s="112" t="s">
        <v>247</v>
      </c>
      <c r="D62" s="112" t="s">
        <v>248</v>
      </c>
      <c r="E62" s="113" t="s">
        <v>242</v>
      </c>
    </row>
    <row r="63" spans="1:5" ht="15" thickBot="1" x14ac:dyDescent="0.4">
      <c r="A63" s="114">
        <v>105621</v>
      </c>
      <c r="B63" s="114" t="s">
        <v>327</v>
      </c>
      <c r="C63" s="112" t="s">
        <v>247</v>
      </c>
      <c r="D63" s="112" t="s">
        <v>248</v>
      </c>
      <c r="E63" s="113" t="s">
        <v>242</v>
      </c>
    </row>
    <row r="64" spans="1:5" ht="15" thickBot="1" x14ac:dyDescent="0.4">
      <c r="A64" s="114">
        <v>105622</v>
      </c>
      <c r="B64" s="114" t="s">
        <v>328</v>
      </c>
      <c r="C64" s="112" t="s">
        <v>247</v>
      </c>
      <c r="D64" s="112" t="s">
        <v>248</v>
      </c>
      <c r="E64" s="113" t="s">
        <v>242</v>
      </c>
    </row>
    <row r="65" spans="1:5" ht="15" thickBot="1" x14ac:dyDescent="0.4">
      <c r="A65" s="114">
        <v>105623</v>
      </c>
      <c r="B65" s="114" t="s">
        <v>329</v>
      </c>
      <c r="C65" s="112" t="s">
        <v>247</v>
      </c>
      <c r="D65" s="112" t="s">
        <v>248</v>
      </c>
      <c r="E65" s="113" t="s">
        <v>242</v>
      </c>
    </row>
    <row r="66" spans="1:5" ht="15" thickBot="1" x14ac:dyDescent="0.4">
      <c r="A66" s="114">
        <v>105624</v>
      </c>
      <c r="B66" s="114" t="s">
        <v>330</v>
      </c>
      <c r="C66" s="112" t="s">
        <v>247</v>
      </c>
      <c r="D66" s="112" t="s">
        <v>248</v>
      </c>
      <c r="E66" s="113" t="s">
        <v>242</v>
      </c>
    </row>
    <row r="67" spans="1:5" ht="15" thickBot="1" x14ac:dyDescent="0.4">
      <c r="A67" s="114">
        <v>105625</v>
      </c>
      <c r="B67" s="114" t="s">
        <v>331</v>
      </c>
      <c r="C67" s="112" t="s">
        <v>247</v>
      </c>
      <c r="D67" s="112" t="s">
        <v>248</v>
      </c>
      <c r="E67" s="113" t="s">
        <v>242</v>
      </c>
    </row>
    <row r="68" spans="1:5" ht="15" thickBot="1" x14ac:dyDescent="0.4">
      <c r="A68" s="114">
        <v>105626</v>
      </c>
      <c r="B68" s="114" t="s">
        <v>332</v>
      </c>
      <c r="C68" s="112" t="s">
        <v>247</v>
      </c>
      <c r="D68" s="112" t="s">
        <v>248</v>
      </c>
      <c r="E68" s="113" t="s">
        <v>242</v>
      </c>
    </row>
    <row r="69" spans="1:5" ht="15" thickBot="1" x14ac:dyDescent="0.4">
      <c r="A69" s="114">
        <v>105630</v>
      </c>
      <c r="B69" s="114" t="s">
        <v>333</v>
      </c>
      <c r="C69" s="112" t="s">
        <v>250</v>
      </c>
      <c r="D69" s="112" t="s">
        <v>251</v>
      </c>
      <c r="E69" s="113" t="s">
        <v>242</v>
      </c>
    </row>
    <row r="70" spans="1:5" ht="15" thickBot="1" x14ac:dyDescent="0.4">
      <c r="A70" s="114">
        <v>105631</v>
      </c>
      <c r="B70" s="114" t="s">
        <v>334</v>
      </c>
      <c r="C70" s="112" t="s">
        <v>250</v>
      </c>
      <c r="D70" s="112" t="s">
        <v>251</v>
      </c>
      <c r="E70" s="113" t="s">
        <v>242</v>
      </c>
    </row>
    <row r="71" spans="1:5" ht="15" thickBot="1" x14ac:dyDescent="0.4">
      <c r="A71" s="114">
        <v>105634</v>
      </c>
      <c r="B71" s="114" t="s">
        <v>335</v>
      </c>
      <c r="C71" s="112" t="s">
        <v>250</v>
      </c>
      <c r="D71" s="112" t="s">
        <v>251</v>
      </c>
      <c r="E71" s="113" t="s">
        <v>242</v>
      </c>
    </row>
    <row r="72" spans="1:5" ht="15" thickBot="1" x14ac:dyDescent="0.4">
      <c r="A72" s="114">
        <v>105635</v>
      </c>
      <c r="B72" s="114" t="s">
        <v>336</v>
      </c>
      <c r="C72" s="112" t="s">
        <v>250</v>
      </c>
      <c r="D72" s="112" t="s">
        <v>251</v>
      </c>
      <c r="E72" s="113" t="s">
        <v>242</v>
      </c>
    </row>
    <row r="73" spans="1:5" ht="15" thickBot="1" x14ac:dyDescent="0.4">
      <c r="A73" s="114">
        <v>105636</v>
      </c>
      <c r="B73" s="114" t="s">
        <v>337</v>
      </c>
      <c r="C73" s="112" t="s">
        <v>250</v>
      </c>
      <c r="D73" s="112" t="s">
        <v>251</v>
      </c>
      <c r="E73" s="113" t="s">
        <v>242</v>
      </c>
    </row>
    <row r="74" spans="1:5" ht="15" thickBot="1" x14ac:dyDescent="0.4">
      <c r="A74" s="114">
        <v>105637</v>
      </c>
      <c r="B74" s="114" t="s">
        <v>338</v>
      </c>
      <c r="C74" s="112" t="s">
        <v>250</v>
      </c>
      <c r="D74" s="112" t="s">
        <v>251</v>
      </c>
      <c r="E74" s="113" t="s">
        <v>242</v>
      </c>
    </row>
    <row r="75" spans="1:5" ht="15" thickBot="1" x14ac:dyDescent="0.4">
      <c r="A75" s="114">
        <v>105639</v>
      </c>
      <c r="B75" s="114" t="s">
        <v>339</v>
      </c>
      <c r="C75" s="112" t="s">
        <v>250</v>
      </c>
      <c r="D75" s="112" t="s">
        <v>251</v>
      </c>
      <c r="E75" s="113" t="s">
        <v>242</v>
      </c>
    </row>
    <row r="76" spans="1:5" ht="15" thickBot="1" x14ac:dyDescent="0.4">
      <c r="A76" s="114">
        <v>105640</v>
      </c>
      <c r="B76" s="114" t="s">
        <v>340</v>
      </c>
      <c r="C76" s="112" t="s">
        <v>250</v>
      </c>
      <c r="D76" s="112" t="s">
        <v>251</v>
      </c>
      <c r="E76" s="113" t="s">
        <v>242</v>
      </c>
    </row>
    <row r="77" spans="1:5" ht="15" thickBot="1" x14ac:dyDescent="0.4">
      <c r="A77" s="114">
        <v>105641</v>
      </c>
      <c r="B77" s="114" t="s">
        <v>341</v>
      </c>
      <c r="C77" s="112" t="s">
        <v>250</v>
      </c>
      <c r="D77" s="112" t="s">
        <v>251</v>
      </c>
      <c r="E77" s="113" t="s">
        <v>242</v>
      </c>
    </row>
    <row r="78" spans="1:5" ht="15" thickBot="1" x14ac:dyDescent="0.4">
      <c r="A78" s="114">
        <v>105642</v>
      </c>
      <c r="B78" s="114" t="s">
        <v>342</v>
      </c>
      <c r="C78" s="112" t="s">
        <v>250</v>
      </c>
      <c r="D78" s="112" t="s">
        <v>251</v>
      </c>
      <c r="E78" s="113" t="s">
        <v>242</v>
      </c>
    </row>
    <row r="79" spans="1:5" ht="15" thickBot="1" x14ac:dyDescent="0.4">
      <c r="A79" s="114">
        <v>105643</v>
      </c>
      <c r="B79" s="114" t="s">
        <v>343</v>
      </c>
      <c r="C79" s="112" t="s">
        <v>250</v>
      </c>
      <c r="D79" s="112" t="s">
        <v>251</v>
      </c>
      <c r="E79" s="113" t="s">
        <v>242</v>
      </c>
    </row>
    <row r="80" spans="1:5" ht="15" thickBot="1" x14ac:dyDescent="0.4">
      <c r="A80" s="114">
        <v>105644</v>
      </c>
      <c r="B80" s="114" t="s">
        <v>344</v>
      </c>
      <c r="C80" s="112" t="s">
        <v>250</v>
      </c>
      <c r="D80" s="112" t="s">
        <v>251</v>
      </c>
      <c r="E80" s="113" t="s">
        <v>242</v>
      </c>
    </row>
    <row r="81" spans="1:5" ht="15" thickBot="1" x14ac:dyDescent="0.4">
      <c r="A81" s="114">
        <v>105645</v>
      </c>
      <c r="B81" s="114" t="s">
        <v>345</v>
      </c>
      <c r="C81" s="112" t="s">
        <v>250</v>
      </c>
      <c r="D81" s="112" t="s">
        <v>251</v>
      </c>
      <c r="E81" s="113" t="s">
        <v>242</v>
      </c>
    </row>
    <row r="82" spans="1:5" ht="15" thickBot="1" x14ac:dyDescent="0.4">
      <c r="A82" s="114">
        <v>105646</v>
      </c>
      <c r="B82" s="114" t="s">
        <v>346</v>
      </c>
      <c r="C82" s="112" t="s">
        <v>250</v>
      </c>
      <c r="D82" s="112" t="s">
        <v>251</v>
      </c>
      <c r="E82" s="113" t="s">
        <v>242</v>
      </c>
    </row>
    <row r="83" spans="1:5" ht="15" thickBot="1" x14ac:dyDescent="0.4">
      <c r="A83" s="114">
        <v>105647</v>
      </c>
      <c r="B83" s="114" t="s">
        <v>347</v>
      </c>
      <c r="C83" s="112" t="s">
        <v>250</v>
      </c>
      <c r="D83" s="112" t="s">
        <v>251</v>
      </c>
      <c r="E83" s="113" t="s">
        <v>242</v>
      </c>
    </row>
    <row r="84" spans="1:5" ht="15" thickBot="1" x14ac:dyDescent="0.4">
      <c r="A84" s="114">
        <v>105648</v>
      </c>
      <c r="B84" s="114" t="s">
        <v>348</v>
      </c>
      <c r="C84" s="112" t="s">
        <v>250</v>
      </c>
      <c r="D84" s="112" t="s">
        <v>251</v>
      </c>
      <c r="E84" s="113" t="s">
        <v>242</v>
      </c>
    </row>
    <row r="85" spans="1:5" ht="15" thickBot="1" x14ac:dyDescent="0.4">
      <c r="A85" s="114">
        <v>105652</v>
      </c>
      <c r="B85" s="114" t="s">
        <v>349</v>
      </c>
      <c r="C85" s="112" t="s">
        <v>253</v>
      </c>
      <c r="D85" s="112" t="s">
        <v>254</v>
      </c>
      <c r="E85" s="113" t="s">
        <v>242</v>
      </c>
    </row>
    <row r="86" spans="1:5" ht="15" thickBot="1" x14ac:dyDescent="0.4">
      <c r="A86" s="114">
        <v>105653</v>
      </c>
      <c r="B86" s="114" t="s">
        <v>350</v>
      </c>
      <c r="C86" s="112" t="s">
        <v>253</v>
      </c>
      <c r="D86" s="112" t="s">
        <v>254</v>
      </c>
      <c r="E86" s="113" t="s">
        <v>242</v>
      </c>
    </row>
    <row r="87" spans="1:5" ht="15" thickBot="1" x14ac:dyDescent="0.4">
      <c r="A87" s="114">
        <v>105654</v>
      </c>
      <c r="B87" s="114" t="s">
        <v>351</v>
      </c>
      <c r="C87" s="112" t="s">
        <v>253</v>
      </c>
      <c r="D87" s="112" t="s">
        <v>254</v>
      </c>
      <c r="E87" s="113" t="s">
        <v>242</v>
      </c>
    </row>
    <row r="88" spans="1:5" ht="15" thickBot="1" x14ac:dyDescent="0.4">
      <c r="A88" s="114">
        <v>105655</v>
      </c>
      <c r="B88" s="114" t="s">
        <v>352</v>
      </c>
      <c r="C88" s="112" t="s">
        <v>253</v>
      </c>
      <c r="D88" s="112" t="s">
        <v>254</v>
      </c>
      <c r="E88" s="113" t="s">
        <v>242</v>
      </c>
    </row>
    <row r="89" spans="1:5" ht="15" thickBot="1" x14ac:dyDescent="0.4">
      <c r="A89" s="114">
        <v>105656</v>
      </c>
      <c r="B89" s="114" t="s">
        <v>353</v>
      </c>
      <c r="C89" s="112" t="s">
        <v>253</v>
      </c>
      <c r="D89" s="112" t="s">
        <v>254</v>
      </c>
      <c r="E89" s="113" t="s">
        <v>242</v>
      </c>
    </row>
    <row r="90" spans="1:5" ht="15" thickBot="1" x14ac:dyDescent="0.4">
      <c r="A90" s="114">
        <v>105657</v>
      </c>
      <c r="B90" s="114" t="s">
        <v>354</v>
      </c>
      <c r="C90" s="112" t="s">
        <v>253</v>
      </c>
      <c r="D90" s="112" t="s">
        <v>254</v>
      </c>
      <c r="E90" s="113" t="s">
        <v>242</v>
      </c>
    </row>
    <row r="91" spans="1:5" ht="15" thickBot="1" x14ac:dyDescent="0.4">
      <c r="A91" s="114">
        <v>105658</v>
      </c>
      <c r="B91" s="114" t="s">
        <v>355</v>
      </c>
      <c r="C91" s="112" t="s">
        <v>253</v>
      </c>
      <c r="D91" s="112" t="s">
        <v>254</v>
      </c>
      <c r="E91" s="113" t="s">
        <v>242</v>
      </c>
    </row>
    <row r="92" spans="1:5" ht="15" thickBot="1" x14ac:dyDescent="0.4">
      <c r="A92" s="114">
        <v>105659</v>
      </c>
      <c r="B92" s="114" t="s">
        <v>356</v>
      </c>
      <c r="C92" s="112" t="s">
        <v>253</v>
      </c>
      <c r="D92" s="112" t="s">
        <v>254</v>
      </c>
      <c r="E92" s="113" t="s">
        <v>242</v>
      </c>
    </row>
    <row r="93" spans="1:5" ht="15" thickBot="1" x14ac:dyDescent="0.4">
      <c r="A93" s="114">
        <v>105660</v>
      </c>
      <c r="B93" s="114" t="s">
        <v>357</v>
      </c>
      <c r="C93" s="112" t="s">
        <v>253</v>
      </c>
      <c r="D93" s="112" t="s">
        <v>254</v>
      </c>
      <c r="E93" s="113" t="s">
        <v>242</v>
      </c>
    </row>
    <row r="94" spans="1:5" ht="15" thickBot="1" x14ac:dyDescent="0.4">
      <c r="A94" s="114">
        <v>105661</v>
      </c>
      <c r="B94" s="114" t="s">
        <v>358</v>
      </c>
      <c r="C94" s="112" t="s">
        <v>253</v>
      </c>
      <c r="D94" s="112" t="s">
        <v>254</v>
      </c>
      <c r="E94" s="113" t="s">
        <v>242</v>
      </c>
    </row>
    <row r="95" spans="1:5" ht="15" thickBot="1" x14ac:dyDescent="0.4">
      <c r="A95" s="114">
        <v>105662</v>
      </c>
      <c r="B95" s="114" t="s">
        <v>359</v>
      </c>
      <c r="C95" s="112" t="s">
        <v>253</v>
      </c>
      <c r="D95" s="112" t="s">
        <v>254</v>
      </c>
      <c r="E95" s="113" t="s">
        <v>242</v>
      </c>
    </row>
    <row r="96" spans="1:5" ht="15" thickBot="1" x14ac:dyDescent="0.4">
      <c r="A96" s="114">
        <v>105663</v>
      </c>
      <c r="B96" s="114" t="s">
        <v>360</v>
      </c>
      <c r="C96" s="112" t="s">
        <v>253</v>
      </c>
      <c r="D96" s="112" t="s">
        <v>254</v>
      </c>
      <c r="E96" s="113" t="s">
        <v>242</v>
      </c>
    </row>
    <row r="97" spans="1:5" ht="15" thickBot="1" x14ac:dyDescent="0.4">
      <c r="A97" s="114">
        <v>105664</v>
      </c>
      <c r="B97" s="114" t="s">
        <v>361</v>
      </c>
      <c r="C97" s="112" t="s">
        <v>253</v>
      </c>
      <c r="D97" s="112" t="s">
        <v>254</v>
      </c>
      <c r="E97" s="113" t="s">
        <v>242</v>
      </c>
    </row>
    <row r="98" spans="1:5" ht="15" thickBot="1" x14ac:dyDescent="0.4">
      <c r="A98" s="114">
        <v>105665</v>
      </c>
      <c r="B98" s="114" t="s">
        <v>362</v>
      </c>
      <c r="C98" s="112" t="s">
        <v>253</v>
      </c>
      <c r="D98" s="112" t="s">
        <v>254</v>
      </c>
      <c r="E98" s="113" t="s">
        <v>242</v>
      </c>
    </row>
    <row r="99" spans="1:5" ht="15" thickBot="1" x14ac:dyDescent="0.4">
      <c r="A99" s="114">
        <v>105666</v>
      </c>
      <c r="B99" s="114" t="s">
        <v>363</v>
      </c>
      <c r="C99" s="112" t="s">
        <v>253</v>
      </c>
      <c r="D99" s="112" t="s">
        <v>254</v>
      </c>
      <c r="E99" s="113" t="s">
        <v>242</v>
      </c>
    </row>
    <row r="100" spans="1:5" ht="15" thickBot="1" x14ac:dyDescent="0.4">
      <c r="A100" s="114">
        <v>105667</v>
      </c>
      <c r="B100" s="114" t="s">
        <v>364</v>
      </c>
      <c r="C100" s="112" t="s">
        <v>253</v>
      </c>
      <c r="D100" s="112" t="s">
        <v>254</v>
      </c>
      <c r="E100" s="113" t="s">
        <v>242</v>
      </c>
    </row>
    <row r="101" spans="1:5" ht="15" thickBot="1" x14ac:dyDescent="0.4">
      <c r="A101" s="114">
        <v>105668</v>
      </c>
      <c r="B101" s="114" t="s">
        <v>365</v>
      </c>
      <c r="C101" s="112" t="s">
        <v>253</v>
      </c>
      <c r="D101" s="112" t="s">
        <v>254</v>
      </c>
      <c r="E101" s="113" t="s">
        <v>242</v>
      </c>
    </row>
    <row r="102" spans="1:5" ht="15" thickBot="1" x14ac:dyDescent="0.4">
      <c r="A102" s="114">
        <v>105669</v>
      </c>
      <c r="B102" s="114" t="s">
        <v>366</v>
      </c>
      <c r="C102" s="112" t="s">
        <v>253</v>
      </c>
      <c r="D102" s="112" t="s">
        <v>254</v>
      </c>
      <c r="E102" s="113" t="s">
        <v>242</v>
      </c>
    </row>
    <row r="103" spans="1:5" ht="15" thickBot="1" x14ac:dyDescent="0.4">
      <c r="A103" s="114">
        <v>105670</v>
      </c>
      <c r="B103" s="114" t="s">
        <v>367</v>
      </c>
      <c r="C103" s="112" t="s">
        <v>253</v>
      </c>
      <c r="D103" s="112" t="s">
        <v>254</v>
      </c>
      <c r="E103" s="113" t="s">
        <v>242</v>
      </c>
    </row>
    <row r="104" spans="1:5" ht="15" thickBot="1" x14ac:dyDescent="0.4">
      <c r="A104" s="114">
        <v>105674</v>
      </c>
      <c r="B104" s="114" t="s">
        <v>368</v>
      </c>
      <c r="C104" s="112" t="s">
        <v>259</v>
      </c>
      <c r="D104" s="112" t="s">
        <v>260</v>
      </c>
      <c r="E104" s="113" t="s">
        <v>242</v>
      </c>
    </row>
    <row r="105" spans="1:5" ht="15" thickBot="1" x14ac:dyDescent="0.4">
      <c r="A105" s="114">
        <v>105675</v>
      </c>
      <c r="B105" s="114" t="s">
        <v>369</v>
      </c>
      <c r="C105" s="112" t="s">
        <v>259</v>
      </c>
      <c r="D105" s="112" t="s">
        <v>260</v>
      </c>
      <c r="E105" s="113" t="s">
        <v>242</v>
      </c>
    </row>
    <row r="106" spans="1:5" ht="15" thickBot="1" x14ac:dyDescent="0.4">
      <c r="A106" s="114">
        <v>105676</v>
      </c>
      <c r="B106" s="114" t="s">
        <v>370</v>
      </c>
      <c r="C106" s="112" t="s">
        <v>259</v>
      </c>
      <c r="D106" s="112" t="s">
        <v>260</v>
      </c>
      <c r="E106" s="113" t="s">
        <v>242</v>
      </c>
    </row>
    <row r="107" spans="1:5" ht="15" thickBot="1" x14ac:dyDescent="0.4">
      <c r="A107" s="114">
        <v>105677</v>
      </c>
      <c r="B107" s="114" t="s">
        <v>371</v>
      </c>
      <c r="C107" s="112" t="s">
        <v>259</v>
      </c>
      <c r="D107" s="112" t="s">
        <v>260</v>
      </c>
      <c r="E107" s="113" t="s">
        <v>242</v>
      </c>
    </row>
    <row r="108" spans="1:5" ht="15" thickBot="1" x14ac:dyDescent="0.4">
      <c r="A108" s="114">
        <v>105678</v>
      </c>
      <c r="B108" s="114" t="s">
        <v>372</v>
      </c>
      <c r="C108" s="112" t="s">
        <v>259</v>
      </c>
      <c r="D108" s="112" t="s">
        <v>260</v>
      </c>
      <c r="E108" s="113" t="s">
        <v>242</v>
      </c>
    </row>
    <row r="109" spans="1:5" ht="15" thickBot="1" x14ac:dyDescent="0.4">
      <c r="A109" s="114">
        <v>105679</v>
      </c>
      <c r="B109" s="114" t="s">
        <v>373</v>
      </c>
      <c r="C109" s="112" t="s">
        <v>259</v>
      </c>
      <c r="D109" s="112" t="s">
        <v>260</v>
      </c>
      <c r="E109" s="113" t="s">
        <v>242</v>
      </c>
    </row>
    <row r="110" spans="1:5" ht="15" thickBot="1" x14ac:dyDescent="0.4">
      <c r="A110" s="114">
        <v>105680</v>
      </c>
      <c r="B110" s="114" t="s">
        <v>374</v>
      </c>
      <c r="C110" s="112" t="s">
        <v>259</v>
      </c>
      <c r="D110" s="112" t="s">
        <v>260</v>
      </c>
      <c r="E110" s="113" t="s">
        <v>242</v>
      </c>
    </row>
    <row r="111" spans="1:5" ht="15" thickBot="1" x14ac:dyDescent="0.4">
      <c r="A111" s="114">
        <v>105681</v>
      </c>
      <c r="B111" s="114" t="s">
        <v>375</v>
      </c>
      <c r="C111" s="112" t="s">
        <v>259</v>
      </c>
      <c r="D111" s="112" t="s">
        <v>260</v>
      </c>
      <c r="E111" s="113" t="s">
        <v>242</v>
      </c>
    </row>
    <row r="112" spans="1:5" ht="15" thickBot="1" x14ac:dyDescent="0.4">
      <c r="A112" s="114">
        <v>105682</v>
      </c>
      <c r="B112" s="114" t="s">
        <v>376</v>
      </c>
      <c r="C112" s="112" t="s">
        <v>259</v>
      </c>
      <c r="D112" s="112" t="s">
        <v>260</v>
      </c>
      <c r="E112" s="113" t="s">
        <v>242</v>
      </c>
    </row>
    <row r="113" spans="1:5" ht="15" thickBot="1" x14ac:dyDescent="0.4">
      <c r="A113" s="114">
        <v>105683</v>
      </c>
      <c r="B113" s="114" t="s">
        <v>377</v>
      </c>
      <c r="C113" s="112" t="s">
        <v>259</v>
      </c>
      <c r="D113" s="112" t="s">
        <v>260</v>
      </c>
      <c r="E113" s="113" t="s">
        <v>242</v>
      </c>
    </row>
    <row r="114" spans="1:5" ht="15" thickBot="1" x14ac:dyDescent="0.4">
      <c r="A114" s="114">
        <v>105684</v>
      </c>
      <c r="B114" s="114" t="s">
        <v>378</v>
      </c>
      <c r="C114" s="112" t="s">
        <v>259</v>
      </c>
      <c r="D114" s="112" t="s">
        <v>260</v>
      </c>
      <c r="E114" s="113" t="s">
        <v>242</v>
      </c>
    </row>
    <row r="115" spans="1:5" ht="15" thickBot="1" x14ac:dyDescent="0.4">
      <c r="A115" s="114">
        <v>105685</v>
      </c>
      <c r="B115" s="114" t="s">
        <v>379</v>
      </c>
      <c r="C115" s="112" t="s">
        <v>259</v>
      </c>
      <c r="D115" s="112" t="s">
        <v>260</v>
      </c>
      <c r="E115" s="113" t="s">
        <v>242</v>
      </c>
    </row>
    <row r="116" spans="1:5" ht="15" thickBot="1" x14ac:dyDescent="0.4">
      <c r="A116" s="114">
        <v>105686</v>
      </c>
      <c r="B116" s="114" t="s">
        <v>380</v>
      </c>
      <c r="C116" s="112" t="s">
        <v>259</v>
      </c>
      <c r="D116" s="112" t="s">
        <v>260</v>
      </c>
      <c r="E116" s="113" t="s">
        <v>242</v>
      </c>
    </row>
    <row r="117" spans="1:5" ht="15" thickBot="1" x14ac:dyDescent="0.4">
      <c r="A117" s="114">
        <v>105687</v>
      </c>
      <c r="B117" s="114" t="s">
        <v>381</v>
      </c>
      <c r="C117" s="112" t="s">
        <v>259</v>
      </c>
      <c r="D117" s="112" t="s">
        <v>260</v>
      </c>
      <c r="E117" s="113" t="s">
        <v>242</v>
      </c>
    </row>
    <row r="118" spans="1:5" ht="15" thickBot="1" x14ac:dyDescent="0.4">
      <c r="A118" s="114">
        <v>105688</v>
      </c>
      <c r="B118" s="114" t="s">
        <v>382</v>
      </c>
      <c r="C118" s="112" t="s">
        <v>259</v>
      </c>
      <c r="D118" s="112" t="s">
        <v>260</v>
      </c>
      <c r="E118" s="113" t="s">
        <v>242</v>
      </c>
    </row>
    <row r="119" spans="1:5" ht="15" thickBot="1" x14ac:dyDescent="0.4">
      <c r="A119" s="114">
        <v>105689</v>
      </c>
      <c r="B119" s="114" t="s">
        <v>383</v>
      </c>
      <c r="C119" s="112" t="s">
        <v>259</v>
      </c>
      <c r="D119" s="112" t="s">
        <v>260</v>
      </c>
      <c r="E119" s="113" t="s">
        <v>242</v>
      </c>
    </row>
    <row r="120" spans="1:5" ht="15" thickBot="1" x14ac:dyDescent="0.4">
      <c r="A120" s="114">
        <v>105690</v>
      </c>
      <c r="B120" s="114" t="s">
        <v>384</v>
      </c>
      <c r="C120" s="112" t="s">
        <v>259</v>
      </c>
      <c r="D120" s="112" t="s">
        <v>260</v>
      </c>
      <c r="E120" s="113" t="s">
        <v>242</v>
      </c>
    </row>
    <row r="121" spans="1:5" ht="15" thickBot="1" x14ac:dyDescent="0.4">
      <c r="A121" s="114">
        <v>105691</v>
      </c>
      <c r="B121" s="114" t="s">
        <v>385</v>
      </c>
      <c r="C121" s="112" t="s">
        <v>259</v>
      </c>
      <c r="D121" s="112" t="s">
        <v>260</v>
      </c>
      <c r="E121" s="113" t="s">
        <v>242</v>
      </c>
    </row>
    <row r="122" spans="1:5" ht="15" thickBot="1" x14ac:dyDescent="0.4">
      <c r="A122" s="114">
        <v>105692</v>
      </c>
      <c r="B122" s="114" t="s">
        <v>386</v>
      </c>
      <c r="C122" s="112" t="s">
        <v>259</v>
      </c>
      <c r="D122" s="112" t="s">
        <v>260</v>
      </c>
      <c r="E122" s="113" t="s">
        <v>242</v>
      </c>
    </row>
    <row r="123" spans="1:5" ht="15" thickBot="1" x14ac:dyDescent="0.4">
      <c r="A123" s="114">
        <v>105693</v>
      </c>
      <c r="B123" s="114" t="s">
        <v>387</v>
      </c>
      <c r="C123" s="112" t="s">
        <v>259</v>
      </c>
      <c r="D123" s="112" t="s">
        <v>260</v>
      </c>
      <c r="E123" s="113" t="s">
        <v>242</v>
      </c>
    </row>
    <row r="124" spans="1:5" ht="15" thickBot="1" x14ac:dyDescent="0.4">
      <c r="A124" s="114">
        <v>105696</v>
      </c>
      <c r="B124" s="114" t="s">
        <v>388</v>
      </c>
      <c r="C124" s="112" t="s">
        <v>262</v>
      </c>
      <c r="D124" s="112" t="s">
        <v>263</v>
      </c>
      <c r="E124" s="113" t="s">
        <v>242</v>
      </c>
    </row>
    <row r="125" spans="1:5" ht="15" thickBot="1" x14ac:dyDescent="0.4">
      <c r="A125" s="114">
        <v>105697</v>
      </c>
      <c r="B125" s="114" t="s">
        <v>389</v>
      </c>
      <c r="C125" s="112" t="s">
        <v>262</v>
      </c>
      <c r="D125" s="112" t="s">
        <v>263</v>
      </c>
      <c r="E125" s="113" t="s">
        <v>242</v>
      </c>
    </row>
    <row r="126" spans="1:5" ht="15" thickBot="1" x14ac:dyDescent="0.4">
      <c r="A126" s="114">
        <v>105700</v>
      </c>
      <c r="B126" s="114" t="s">
        <v>390</v>
      </c>
      <c r="C126" s="112" t="s">
        <v>262</v>
      </c>
      <c r="D126" s="112" t="s">
        <v>263</v>
      </c>
      <c r="E126" s="113" t="s">
        <v>242</v>
      </c>
    </row>
    <row r="127" spans="1:5" ht="15" thickBot="1" x14ac:dyDescent="0.4">
      <c r="A127" s="114">
        <v>105701</v>
      </c>
      <c r="B127" s="114" t="s">
        <v>391</v>
      </c>
      <c r="C127" s="112" t="s">
        <v>262</v>
      </c>
      <c r="D127" s="112" t="s">
        <v>263</v>
      </c>
      <c r="E127" s="113" t="s">
        <v>242</v>
      </c>
    </row>
    <row r="128" spans="1:5" ht="15" thickBot="1" x14ac:dyDescent="0.4">
      <c r="A128" s="114">
        <v>105702</v>
      </c>
      <c r="B128" s="114" t="s">
        <v>392</v>
      </c>
      <c r="C128" s="112" t="s">
        <v>262</v>
      </c>
      <c r="D128" s="112" t="s">
        <v>263</v>
      </c>
      <c r="E128" s="113" t="s">
        <v>242</v>
      </c>
    </row>
    <row r="129" spans="1:5" ht="15" thickBot="1" x14ac:dyDescent="0.4">
      <c r="A129" s="114">
        <v>105703</v>
      </c>
      <c r="B129" s="114" t="s">
        <v>393</v>
      </c>
      <c r="C129" s="112" t="s">
        <v>262</v>
      </c>
      <c r="D129" s="112" t="s">
        <v>263</v>
      </c>
      <c r="E129" s="113" t="s">
        <v>242</v>
      </c>
    </row>
    <row r="130" spans="1:5" ht="15" thickBot="1" x14ac:dyDescent="0.4">
      <c r="A130" s="114">
        <v>105705</v>
      </c>
      <c r="B130" s="114" t="s">
        <v>394</v>
      </c>
      <c r="C130" s="112" t="s">
        <v>262</v>
      </c>
      <c r="D130" s="112" t="s">
        <v>263</v>
      </c>
      <c r="E130" s="113" t="s">
        <v>242</v>
      </c>
    </row>
    <row r="131" spans="1:5" ht="15" thickBot="1" x14ac:dyDescent="0.4">
      <c r="A131" s="114">
        <v>105706</v>
      </c>
      <c r="B131" s="114" t="s">
        <v>395</v>
      </c>
      <c r="C131" s="112" t="s">
        <v>262</v>
      </c>
      <c r="D131" s="112" t="s">
        <v>263</v>
      </c>
      <c r="E131" s="113" t="s">
        <v>242</v>
      </c>
    </row>
    <row r="132" spans="1:5" ht="15" thickBot="1" x14ac:dyDescent="0.4">
      <c r="A132" s="114">
        <v>105707</v>
      </c>
      <c r="B132" s="114" t="s">
        <v>396</v>
      </c>
      <c r="C132" s="112" t="s">
        <v>262</v>
      </c>
      <c r="D132" s="112" t="s">
        <v>263</v>
      </c>
      <c r="E132" s="113" t="s">
        <v>242</v>
      </c>
    </row>
    <row r="133" spans="1:5" ht="15" thickBot="1" x14ac:dyDescent="0.4">
      <c r="A133" s="114">
        <v>105708</v>
      </c>
      <c r="B133" s="114" t="s">
        <v>397</v>
      </c>
      <c r="C133" s="112" t="s">
        <v>262</v>
      </c>
      <c r="D133" s="112" t="s">
        <v>263</v>
      </c>
      <c r="E133" s="113" t="s">
        <v>242</v>
      </c>
    </row>
    <row r="134" spans="1:5" ht="15" thickBot="1" x14ac:dyDescent="0.4">
      <c r="A134" s="114">
        <v>105709</v>
      </c>
      <c r="B134" s="114" t="s">
        <v>398</v>
      </c>
      <c r="C134" s="112" t="s">
        <v>262</v>
      </c>
      <c r="D134" s="112" t="s">
        <v>263</v>
      </c>
      <c r="E134" s="113" t="s">
        <v>242</v>
      </c>
    </row>
    <row r="135" spans="1:5" ht="15" thickBot="1" x14ac:dyDescent="0.4">
      <c r="A135" s="114">
        <v>105710</v>
      </c>
      <c r="B135" s="114" t="s">
        <v>399</v>
      </c>
      <c r="C135" s="112" t="s">
        <v>262</v>
      </c>
      <c r="D135" s="112" t="s">
        <v>263</v>
      </c>
      <c r="E135" s="113" t="s">
        <v>242</v>
      </c>
    </row>
    <row r="136" spans="1:5" ht="15" thickBot="1" x14ac:dyDescent="0.4">
      <c r="A136" s="114">
        <v>105711</v>
      </c>
      <c r="B136" s="114" t="s">
        <v>400</v>
      </c>
      <c r="C136" s="112" t="s">
        <v>262</v>
      </c>
      <c r="D136" s="112" t="s">
        <v>263</v>
      </c>
      <c r="E136" s="113" t="s">
        <v>242</v>
      </c>
    </row>
    <row r="137" spans="1:5" ht="15" thickBot="1" x14ac:dyDescent="0.4">
      <c r="A137" s="114">
        <v>105712</v>
      </c>
      <c r="B137" s="114" t="s">
        <v>401</v>
      </c>
      <c r="C137" s="112" t="s">
        <v>262</v>
      </c>
      <c r="D137" s="112" t="s">
        <v>263</v>
      </c>
      <c r="E137" s="113" t="s">
        <v>242</v>
      </c>
    </row>
    <row r="138" spans="1:5" ht="15" thickBot="1" x14ac:dyDescent="0.4">
      <c r="A138" s="114">
        <v>105713</v>
      </c>
      <c r="B138" s="114" t="s">
        <v>402</v>
      </c>
      <c r="C138" s="112" t="s">
        <v>262</v>
      </c>
      <c r="D138" s="112" t="s">
        <v>263</v>
      </c>
      <c r="E138" s="113" t="s">
        <v>242</v>
      </c>
    </row>
    <row r="139" spans="1:5" ht="15" thickBot="1" x14ac:dyDescent="0.4">
      <c r="A139" s="114">
        <v>105714</v>
      </c>
      <c r="B139" s="114" t="s">
        <v>403</v>
      </c>
      <c r="C139" s="112" t="s">
        <v>262</v>
      </c>
      <c r="D139" s="112" t="s">
        <v>263</v>
      </c>
      <c r="E139" s="113" t="s">
        <v>242</v>
      </c>
    </row>
  </sheetData>
  <autoFilter ref="A1:E1" xr:uid="{C3BE9DA2-E19E-435E-846D-AAF0AE4927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BDC1-5B28-4820-9D6E-2A5FAEE4ABCB}">
  <dimension ref="A1:A39"/>
  <sheetViews>
    <sheetView workbookViewId="0">
      <selection sqref="A1:XFD1"/>
    </sheetView>
  </sheetViews>
  <sheetFormatPr defaultRowHeight="14.5" x14ac:dyDescent="0.35"/>
  <sheetData>
    <row r="1" spans="1:1" x14ac:dyDescent="0.35">
      <c r="A1" t="s">
        <v>225</v>
      </c>
    </row>
    <row r="2" spans="1:1" x14ac:dyDescent="0.35">
      <c r="A2" t="s">
        <v>226</v>
      </c>
    </row>
    <row r="3" spans="1:1" x14ac:dyDescent="0.35">
      <c r="A3" t="s">
        <v>188</v>
      </c>
    </row>
    <row r="4" spans="1:1" x14ac:dyDescent="0.35">
      <c r="A4" t="s">
        <v>189</v>
      </c>
    </row>
    <row r="5" spans="1:1" x14ac:dyDescent="0.35">
      <c r="A5" t="s">
        <v>190</v>
      </c>
    </row>
    <row r="6" spans="1:1" x14ac:dyDescent="0.35">
      <c r="A6" t="s">
        <v>191</v>
      </c>
    </row>
    <row r="7" spans="1:1" x14ac:dyDescent="0.35">
      <c r="A7" t="s">
        <v>192</v>
      </c>
    </row>
    <row r="8" spans="1:1" x14ac:dyDescent="0.35">
      <c r="A8" t="s">
        <v>193</v>
      </c>
    </row>
    <row r="9" spans="1:1" x14ac:dyDescent="0.35">
      <c r="A9" t="s">
        <v>194</v>
      </c>
    </row>
    <row r="10" spans="1:1" x14ac:dyDescent="0.35">
      <c r="A10" t="s">
        <v>195</v>
      </c>
    </row>
    <row r="11" spans="1:1" x14ac:dyDescent="0.35">
      <c r="A11" t="s">
        <v>196</v>
      </c>
    </row>
    <row r="12" spans="1:1" x14ac:dyDescent="0.35">
      <c r="A12" t="s">
        <v>197</v>
      </c>
    </row>
    <row r="13" spans="1:1" x14ac:dyDescent="0.35">
      <c r="A13" t="s">
        <v>198</v>
      </c>
    </row>
    <row r="14" spans="1:1" x14ac:dyDescent="0.35">
      <c r="A14" t="s">
        <v>199</v>
      </c>
    </row>
    <row r="15" spans="1:1" x14ac:dyDescent="0.35">
      <c r="A15" t="s">
        <v>200</v>
      </c>
    </row>
    <row r="16" spans="1:1" x14ac:dyDescent="0.35">
      <c r="A16" t="s">
        <v>201</v>
      </c>
    </row>
    <row r="17" spans="1:1" x14ac:dyDescent="0.35">
      <c r="A17" t="s">
        <v>202</v>
      </c>
    </row>
    <row r="18" spans="1:1" x14ac:dyDescent="0.35">
      <c r="A18" t="s">
        <v>203</v>
      </c>
    </row>
    <row r="19" spans="1:1" x14ac:dyDescent="0.35">
      <c r="A19" t="s">
        <v>204</v>
      </c>
    </row>
    <row r="20" spans="1:1" x14ac:dyDescent="0.35">
      <c r="A20" t="s">
        <v>205</v>
      </c>
    </row>
    <row r="21" spans="1:1" x14ac:dyDescent="0.35">
      <c r="A21" t="s">
        <v>206</v>
      </c>
    </row>
    <row r="22" spans="1:1" x14ac:dyDescent="0.35">
      <c r="A22" t="s">
        <v>207</v>
      </c>
    </row>
    <row r="23" spans="1:1" x14ac:dyDescent="0.35">
      <c r="A23" t="s">
        <v>208</v>
      </c>
    </row>
    <row r="24" spans="1:1" x14ac:dyDescent="0.35">
      <c r="A24" t="s">
        <v>209</v>
      </c>
    </row>
    <row r="25" spans="1:1" x14ac:dyDescent="0.35">
      <c r="A25" t="s">
        <v>210</v>
      </c>
    </row>
    <row r="26" spans="1:1" x14ac:dyDescent="0.35">
      <c r="A26" t="s">
        <v>211</v>
      </c>
    </row>
    <row r="27" spans="1:1" x14ac:dyDescent="0.35">
      <c r="A27" t="s">
        <v>212</v>
      </c>
    </row>
    <row r="28" spans="1:1" x14ac:dyDescent="0.35">
      <c r="A28" t="s">
        <v>213</v>
      </c>
    </row>
    <row r="29" spans="1:1" x14ac:dyDescent="0.35">
      <c r="A29" t="s">
        <v>214</v>
      </c>
    </row>
    <row r="30" spans="1:1" x14ac:dyDescent="0.35">
      <c r="A30" t="s">
        <v>215</v>
      </c>
    </row>
    <row r="31" spans="1:1" x14ac:dyDescent="0.35">
      <c r="A31" t="s">
        <v>216</v>
      </c>
    </row>
    <row r="32" spans="1:1" x14ac:dyDescent="0.35">
      <c r="A32" t="s">
        <v>217</v>
      </c>
    </row>
    <row r="33" spans="1:1" x14ac:dyDescent="0.35">
      <c r="A33" t="s">
        <v>218</v>
      </c>
    </row>
    <row r="34" spans="1:1" x14ac:dyDescent="0.35">
      <c r="A34" t="s">
        <v>219</v>
      </c>
    </row>
    <row r="35" spans="1:1" x14ac:dyDescent="0.35">
      <c r="A35" t="s">
        <v>220</v>
      </c>
    </row>
    <row r="36" spans="1:1" x14ac:dyDescent="0.35">
      <c r="A36" t="s">
        <v>221</v>
      </c>
    </row>
    <row r="37" spans="1:1" x14ac:dyDescent="0.35">
      <c r="A37" t="s">
        <v>222</v>
      </c>
    </row>
    <row r="38" spans="1:1" x14ac:dyDescent="0.35">
      <c r="A38" t="s">
        <v>223</v>
      </c>
    </row>
    <row r="39" spans="1:1" x14ac:dyDescent="0.35">
      <c r="A39" t="s">
        <v>224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F932E-478D-469C-B7BC-EF3E67723B9E}">
  <sheetPr>
    <tabColor rgb="FF92D050"/>
  </sheetPr>
  <dimension ref="A1:D22"/>
  <sheetViews>
    <sheetView workbookViewId="0">
      <selection activeCell="B28" sqref="B28"/>
    </sheetView>
  </sheetViews>
  <sheetFormatPr defaultRowHeight="14.5" x14ac:dyDescent="0.35"/>
  <cols>
    <col min="1" max="1" width="21.453125" customWidth="1"/>
    <col min="2" max="2" width="12.453125" customWidth="1"/>
    <col min="3" max="3" width="14.453125" customWidth="1"/>
    <col min="4" max="5" width="12.54296875" customWidth="1"/>
    <col min="6" max="6" width="13.453125" customWidth="1"/>
    <col min="7" max="7" width="13.1796875" customWidth="1"/>
    <col min="8" max="14" width="14.453125" customWidth="1"/>
    <col min="15" max="15" width="11.81640625" customWidth="1"/>
    <col min="16" max="16" width="9.453125" customWidth="1"/>
    <col min="17" max="17" width="11.1796875" customWidth="1"/>
    <col min="18" max="18" width="10.1796875" customWidth="1"/>
    <col min="19" max="19" width="11.1796875" customWidth="1"/>
    <col min="20" max="20" width="7.7265625" customWidth="1"/>
    <col min="21" max="21" width="11.1796875" customWidth="1"/>
    <col min="22" max="22" width="7.7265625" customWidth="1"/>
    <col min="23" max="23" width="11.1796875" customWidth="1"/>
    <col min="25" max="25" width="10.7265625" bestFit="1" customWidth="1"/>
  </cols>
  <sheetData>
    <row r="1" spans="1:3" x14ac:dyDescent="0.35">
      <c r="A1" s="16" t="s">
        <v>39</v>
      </c>
      <c r="B1" s="119" t="s">
        <v>40</v>
      </c>
      <c r="C1" s="119"/>
    </row>
    <row r="2" spans="1:3" x14ac:dyDescent="0.35">
      <c r="A2" s="2"/>
      <c r="B2" s="49" t="s">
        <v>41</v>
      </c>
      <c r="C2" s="49" t="s">
        <v>42</v>
      </c>
    </row>
    <row r="3" spans="1:3" x14ac:dyDescent="0.35">
      <c r="A3" s="24" t="s">
        <v>43</v>
      </c>
      <c r="B3" s="50">
        <f>+C3*2</f>
        <v>102.84</v>
      </c>
      <c r="C3" s="51">
        <v>51.42</v>
      </c>
    </row>
    <row r="4" spans="1:3" x14ac:dyDescent="0.35">
      <c r="A4" s="24" t="s">
        <v>44</v>
      </c>
      <c r="B4" s="50">
        <f>+C4*2</f>
        <v>53.04</v>
      </c>
      <c r="C4" s="51">
        <v>26.52</v>
      </c>
    </row>
    <row r="5" spans="1:3" x14ac:dyDescent="0.35">
      <c r="A5" s="24" t="s">
        <v>45</v>
      </c>
      <c r="B5" s="50">
        <f>+C5*2</f>
        <v>37.58</v>
      </c>
      <c r="C5" s="51">
        <v>18.79</v>
      </c>
    </row>
    <row r="6" spans="1:3" x14ac:dyDescent="0.35">
      <c r="A6" s="24" t="s">
        <v>46</v>
      </c>
      <c r="B6" s="50">
        <f>+C6*2</f>
        <v>25.9</v>
      </c>
      <c r="C6" s="51">
        <v>12.95</v>
      </c>
    </row>
    <row r="7" spans="1:3" x14ac:dyDescent="0.35">
      <c r="A7" s="24" t="s">
        <v>47</v>
      </c>
      <c r="B7" s="51">
        <v>16.53</v>
      </c>
      <c r="C7" s="49" t="s">
        <v>48</v>
      </c>
    </row>
    <row r="8" spans="1:3" x14ac:dyDescent="0.35">
      <c r="A8" s="24" t="s">
        <v>49</v>
      </c>
      <c r="B8" s="51">
        <v>33.07</v>
      </c>
      <c r="C8" s="49" t="s">
        <v>48</v>
      </c>
    </row>
    <row r="10" spans="1:3" ht="27" customHeight="1" x14ac:dyDescent="0.35"/>
    <row r="15" spans="1:3" x14ac:dyDescent="0.35">
      <c r="B15" s="52"/>
    </row>
    <row r="16" spans="1:3" x14ac:dyDescent="0.35">
      <c r="B16" s="52"/>
    </row>
    <row r="17" spans="1:4" x14ac:dyDescent="0.35">
      <c r="B17" s="52"/>
    </row>
    <row r="18" spans="1:4" ht="15.75" customHeight="1" x14ac:dyDescent="0.35">
      <c r="B18" s="52"/>
    </row>
    <row r="19" spans="1:4" ht="24.75" customHeight="1" thickBot="1" x14ac:dyDescent="0.4">
      <c r="A19" s="53" t="s">
        <v>50</v>
      </c>
      <c r="B19" s="118" t="s">
        <v>40</v>
      </c>
      <c r="C19" s="118"/>
    </row>
    <row r="20" spans="1:4" ht="15" thickBot="1" x14ac:dyDescent="0.4">
      <c r="A20" s="55" t="s">
        <v>51</v>
      </c>
      <c r="B20" s="116">
        <f>(2849*3.56%)+2849</f>
        <v>2950.4243999999999</v>
      </c>
      <c r="C20" s="117"/>
      <c r="D20" t="s">
        <v>186</v>
      </c>
    </row>
    <row r="21" spans="1:4" ht="15" thickBot="1" x14ac:dyDescent="0.4">
      <c r="A21" s="56" t="s">
        <v>52</v>
      </c>
      <c r="B21" s="116">
        <f>(3.56%*23.14)+23.14</f>
        <v>23.963784</v>
      </c>
      <c r="C21" s="117"/>
      <c r="D21" t="s">
        <v>48</v>
      </c>
    </row>
    <row r="22" spans="1:4" x14ac:dyDescent="0.35">
      <c r="A22" t="s">
        <v>53</v>
      </c>
    </row>
  </sheetData>
  <mergeCells count="4">
    <mergeCell ref="B21:C21"/>
    <mergeCell ref="B20:C20"/>
    <mergeCell ref="B19:C19"/>
    <mergeCell ref="B1:C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C5F0-9A47-4F7F-9DB0-15ABC63B5D71}">
  <sheetPr>
    <tabColor rgb="FF92D050"/>
  </sheetPr>
  <dimension ref="A2:B12"/>
  <sheetViews>
    <sheetView workbookViewId="0">
      <selection activeCell="A14" sqref="A14"/>
    </sheetView>
  </sheetViews>
  <sheetFormatPr defaultRowHeight="14.5" x14ac:dyDescent="0.35"/>
  <cols>
    <col min="1" max="1" width="22.453125" customWidth="1"/>
    <col min="2" max="2" width="9.1796875" style="54"/>
  </cols>
  <sheetData>
    <row r="2" spans="1:2" ht="29" x14ac:dyDescent="0.35">
      <c r="A2" t="s">
        <v>411</v>
      </c>
      <c r="B2" s="57" t="s">
        <v>410</v>
      </c>
    </row>
    <row r="4" spans="1:2" x14ac:dyDescent="0.35">
      <c r="A4" t="s">
        <v>409</v>
      </c>
      <c r="B4" s="115">
        <v>15.76</v>
      </c>
    </row>
    <row r="5" spans="1:2" x14ac:dyDescent="0.35">
      <c r="A5" t="s">
        <v>408</v>
      </c>
      <c r="B5" s="115">
        <v>18.91</v>
      </c>
    </row>
    <row r="6" spans="1:2" x14ac:dyDescent="0.35">
      <c r="A6" t="s">
        <v>407</v>
      </c>
    </row>
    <row r="7" spans="1:2" x14ac:dyDescent="0.35">
      <c r="A7" t="s">
        <v>54</v>
      </c>
      <c r="B7" s="115">
        <v>24.91</v>
      </c>
    </row>
    <row r="8" spans="1:2" x14ac:dyDescent="0.35">
      <c r="A8" t="s">
        <v>406</v>
      </c>
      <c r="B8" s="115">
        <v>24.8</v>
      </c>
    </row>
    <row r="9" spans="1:2" x14ac:dyDescent="0.35">
      <c r="A9" t="s">
        <v>55</v>
      </c>
      <c r="B9" s="115">
        <v>24.91</v>
      </c>
    </row>
    <row r="10" spans="1:2" x14ac:dyDescent="0.35">
      <c r="A10" t="s">
        <v>405</v>
      </c>
      <c r="B10" s="115">
        <v>24.91</v>
      </c>
    </row>
    <row r="11" spans="1:2" x14ac:dyDescent="0.35">
      <c r="A11" t="s">
        <v>404</v>
      </c>
      <c r="B11" s="115">
        <v>25.58</v>
      </c>
    </row>
    <row r="12" spans="1:2" x14ac:dyDescent="0.35">
      <c r="A12" t="s">
        <v>56</v>
      </c>
      <c r="B12" s="115">
        <v>24.91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6222F-6869-4EEF-A2EC-A3AB2F46654C}">
  <sheetPr>
    <tabColor rgb="FF92D050"/>
  </sheetPr>
  <dimension ref="A1:I12"/>
  <sheetViews>
    <sheetView workbookViewId="0">
      <selection activeCell="E34" sqref="E34"/>
    </sheetView>
  </sheetViews>
  <sheetFormatPr defaultColWidth="9.1796875" defaultRowHeight="14.5" x14ac:dyDescent="0.35"/>
  <cols>
    <col min="1" max="1" width="21.54296875" customWidth="1"/>
    <col min="2" max="4" width="17.81640625" style="54" customWidth="1"/>
    <col min="5" max="5" width="22.453125" style="54" customWidth="1"/>
    <col min="6" max="6" width="31.453125" style="54" customWidth="1"/>
    <col min="7" max="7" width="25.1796875" style="54" customWidth="1"/>
    <col min="8" max="9" width="22.453125" style="54" customWidth="1"/>
    <col min="10" max="10" width="26.54296875" customWidth="1"/>
    <col min="11" max="11" width="25.453125" customWidth="1"/>
    <col min="12" max="12" width="23" customWidth="1"/>
    <col min="13" max="13" width="22.1796875" customWidth="1"/>
  </cols>
  <sheetData>
    <row r="1" spans="1:9" s="15" customFormat="1" ht="43.5" x14ac:dyDescent="0.35">
      <c r="A1" s="58" t="s">
        <v>57</v>
      </c>
      <c r="B1" s="59" t="s">
        <v>58</v>
      </c>
      <c r="C1" s="59" t="s">
        <v>59</v>
      </c>
      <c r="D1" s="59" t="s">
        <v>60</v>
      </c>
      <c r="E1" s="59" t="s">
        <v>61</v>
      </c>
      <c r="F1" s="122" t="s">
        <v>62</v>
      </c>
      <c r="G1" s="57"/>
      <c r="H1" s="57" t="s">
        <v>63</v>
      </c>
      <c r="I1" s="57"/>
    </row>
    <row r="2" spans="1:9" x14ac:dyDescent="0.35">
      <c r="A2" s="60" t="s">
        <v>185</v>
      </c>
      <c r="B2" s="61">
        <v>776.2029120000002</v>
      </c>
      <c r="C2" s="62">
        <v>853.96</v>
      </c>
      <c r="D2" s="61">
        <v>869.0340960000002</v>
      </c>
      <c r="E2" s="62">
        <v>934.91</v>
      </c>
      <c r="F2" s="122"/>
      <c r="H2" s="54" t="s">
        <v>64</v>
      </c>
    </row>
    <row r="3" spans="1:9" x14ac:dyDescent="0.35">
      <c r="A3" s="60" t="s">
        <v>65</v>
      </c>
      <c r="B3" s="61">
        <v>776.2029120000002</v>
      </c>
      <c r="C3" s="62">
        <v>853.96</v>
      </c>
      <c r="D3" s="61">
        <v>869.0340960000002</v>
      </c>
      <c r="E3" s="62">
        <v>934.91</v>
      </c>
      <c r="F3" s="122"/>
      <c r="G3" s="63"/>
      <c r="H3" s="63" t="s">
        <v>66</v>
      </c>
      <c r="I3" s="63"/>
    </row>
    <row r="4" spans="1:9" x14ac:dyDescent="0.35">
      <c r="A4" s="60" t="s">
        <v>67</v>
      </c>
      <c r="B4" s="61">
        <v>824.29617600000006</v>
      </c>
      <c r="C4" s="62">
        <v>897.74</v>
      </c>
      <c r="D4" s="61">
        <v>914.89046400000018</v>
      </c>
      <c r="E4" s="62">
        <v>984.01</v>
      </c>
      <c r="F4" s="122"/>
      <c r="G4" s="63"/>
      <c r="H4" s="63" t="s">
        <v>68</v>
      </c>
      <c r="I4" s="63"/>
    </row>
    <row r="5" spans="1:9" x14ac:dyDescent="0.35">
      <c r="A5" s="60" t="s">
        <v>69</v>
      </c>
      <c r="B5" s="61">
        <v>843.30979200000013</v>
      </c>
      <c r="C5" s="62">
        <v>915.67</v>
      </c>
      <c r="D5" s="61">
        <v>935.02252800000019</v>
      </c>
      <c r="E5" s="62">
        <v>1003.06</v>
      </c>
      <c r="F5" s="122"/>
      <c r="G5" s="63"/>
      <c r="H5" s="63" t="s">
        <v>70</v>
      </c>
      <c r="I5" s="63"/>
    </row>
    <row r="6" spans="1:9" x14ac:dyDescent="0.35">
      <c r="A6" s="60" t="s">
        <v>71</v>
      </c>
      <c r="B6" s="61">
        <v>867.8456480000001</v>
      </c>
      <c r="C6" s="62">
        <v>942.43</v>
      </c>
      <c r="D6" s="61">
        <v>962.98372800000016</v>
      </c>
      <c r="E6" s="62">
        <v>1025.6199999999999</v>
      </c>
      <c r="F6" s="122"/>
      <c r="G6" s="63"/>
      <c r="H6" s="63"/>
      <c r="I6" s="63"/>
    </row>
    <row r="7" spans="1:9" s="54" customFormat="1" x14ac:dyDescent="0.35">
      <c r="A7" s="120" t="s">
        <v>72</v>
      </c>
      <c r="B7" s="120"/>
      <c r="C7" s="120"/>
      <c r="D7" s="120"/>
      <c r="E7" s="120"/>
      <c r="F7" s="120"/>
    </row>
    <row r="8" spans="1:9" s="54" customFormat="1" x14ac:dyDescent="0.35">
      <c r="A8" s="121"/>
      <c r="B8" s="121"/>
      <c r="C8" s="121"/>
      <c r="D8" s="121"/>
      <c r="E8" s="121"/>
      <c r="F8" s="121"/>
    </row>
    <row r="9" spans="1:9" s="54" customFormat="1" x14ac:dyDescent="0.35">
      <c r="A9" s="121"/>
      <c r="B9" s="121"/>
      <c r="C9" s="121"/>
      <c r="D9" s="121"/>
      <c r="E9" s="121"/>
      <c r="F9" s="121"/>
    </row>
    <row r="10" spans="1:9" s="54" customFormat="1" x14ac:dyDescent="0.35">
      <c r="A10" s="121"/>
      <c r="B10" s="121"/>
      <c r="C10" s="121"/>
      <c r="D10" s="121"/>
      <c r="E10" s="121"/>
      <c r="F10" s="121"/>
    </row>
    <row r="11" spans="1:9" s="54" customFormat="1" x14ac:dyDescent="0.35">
      <c r="A11" s="121"/>
      <c r="B11" s="121"/>
      <c r="C11" s="121"/>
      <c r="D11" s="121"/>
      <c r="E11" s="121"/>
      <c r="F11" s="121"/>
    </row>
    <row r="12" spans="1:9" s="54" customFormat="1" x14ac:dyDescent="0.35">
      <c r="A12" s="121"/>
      <c r="B12" s="121"/>
      <c r="C12" s="121"/>
      <c r="D12" s="121"/>
      <c r="E12" s="121"/>
      <c r="F12" s="121"/>
    </row>
  </sheetData>
  <mergeCells count="2">
    <mergeCell ref="A7:F12"/>
    <mergeCell ref="F1:F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FE6EC-2D74-4D0C-81DD-9B2DFD1D579C}">
  <sheetPr>
    <tabColor rgb="FF92D050"/>
  </sheetPr>
  <dimension ref="A1:T142"/>
  <sheetViews>
    <sheetView zoomScaleNormal="100" workbookViewId="0">
      <selection activeCell="A2" sqref="A2"/>
    </sheetView>
  </sheetViews>
  <sheetFormatPr defaultColWidth="9.453125" defaultRowHeight="15.5" x14ac:dyDescent="0.35"/>
  <cols>
    <col min="1" max="1" width="55" style="66" bestFit="1" customWidth="1"/>
    <col min="2" max="2" width="13.1796875" style="66" customWidth="1"/>
    <col min="3" max="3" width="3.81640625" style="66" customWidth="1"/>
    <col min="4" max="4" width="58.26953125" style="66" bestFit="1" customWidth="1"/>
    <col min="5" max="5" width="15.81640625" style="66" customWidth="1"/>
    <col min="6" max="6" width="5" style="66" customWidth="1"/>
    <col min="7" max="7" width="67.7265625" style="67" bestFit="1" customWidth="1"/>
    <col min="8" max="8" width="13" style="68" customWidth="1"/>
    <col min="9" max="9" width="6" style="67" customWidth="1"/>
    <col min="10" max="10" width="71.81640625" style="67" bestFit="1" customWidth="1"/>
    <col min="11" max="11" width="13" style="68" customWidth="1"/>
    <col min="12" max="12" width="4.453125" style="67" customWidth="1"/>
    <col min="13" max="13" width="49.81640625" style="67" bestFit="1" customWidth="1"/>
    <col min="14" max="15" width="9.453125" style="67"/>
    <col min="16" max="16" width="35.81640625" style="67" bestFit="1" customWidth="1"/>
    <col min="17" max="17" width="10.7265625" style="67" customWidth="1"/>
    <col min="18" max="18" width="4.453125" style="67" customWidth="1"/>
    <col min="19" max="19" width="20.453125" style="67" bestFit="1" customWidth="1"/>
    <col min="20" max="16384" width="9.453125" style="67"/>
  </cols>
  <sheetData>
    <row r="1" spans="1:20" x14ac:dyDescent="0.35">
      <c r="A1" s="64" t="s">
        <v>184</v>
      </c>
      <c r="B1" s="65" t="s">
        <v>75</v>
      </c>
    </row>
    <row r="2" spans="1:20" x14ac:dyDescent="0.35">
      <c r="A2" s="64"/>
    </row>
    <row r="3" spans="1:20" x14ac:dyDescent="0.35">
      <c r="A3" s="66" t="s">
        <v>76</v>
      </c>
      <c r="B3" s="69" t="s">
        <v>77</v>
      </c>
      <c r="D3" s="66" t="s">
        <v>54</v>
      </c>
      <c r="E3" s="69" t="s">
        <v>77</v>
      </c>
      <c r="G3" s="67" t="s">
        <v>78</v>
      </c>
      <c r="H3" s="69" t="s">
        <v>77</v>
      </c>
      <c r="J3" s="67" t="s">
        <v>55</v>
      </c>
      <c r="K3" s="69"/>
    </row>
    <row r="4" spans="1:20" x14ac:dyDescent="0.35">
      <c r="A4" s="67"/>
      <c r="B4" s="68"/>
      <c r="C4" s="67"/>
      <c r="D4" s="70"/>
      <c r="K4" s="69" t="s">
        <v>77</v>
      </c>
      <c r="M4" s="67" t="s">
        <v>79</v>
      </c>
      <c r="N4" s="67" t="s">
        <v>77</v>
      </c>
      <c r="P4" s="67" t="s">
        <v>56</v>
      </c>
      <c r="Q4" s="67" t="s">
        <v>77</v>
      </c>
      <c r="S4" s="67" t="s">
        <v>80</v>
      </c>
    </row>
    <row r="5" spans="1:20" x14ac:dyDescent="0.35">
      <c r="A5" s="71" t="s">
        <v>81</v>
      </c>
      <c r="B5" s="72"/>
      <c r="C5" s="73"/>
      <c r="D5" s="74" t="s">
        <v>82</v>
      </c>
      <c r="E5" s="69"/>
      <c r="G5" s="75" t="s">
        <v>83</v>
      </c>
      <c r="K5" s="67"/>
    </row>
    <row r="6" spans="1:20" x14ac:dyDescent="0.35">
      <c r="A6" t="s">
        <v>74</v>
      </c>
      <c r="B6" s="72">
        <v>25.39</v>
      </c>
      <c r="C6" s="76"/>
      <c r="D6" s="77" t="s">
        <v>73</v>
      </c>
      <c r="E6" s="69">
        <v>26.6</v>
      </c>
      <c r="G6" s="67" t="s">
        <v>84</v>
      </c>
      <c r="H6" s="68">
        <v>26.54</v>
      </c>
      <c r="I6" s="78"/>
      <c r="J6" s="75" t="s">
        <v>85</v>
      </c>
      <c r="M6" s="75" t="s">
        <v>86</v>
      </c>
      <c r="N6" s="68"/>
      <c r="P6" s="75" t="s">
        <v>87</v>
      </c>
      <c r="Q6" s="79"/>
    </row>
    <row r="7" spans="1:20" x14ac:dyDescent="0.35">
      <c r="A7" s="71" t="s">
        <v>88</v>
      </c>
      <c r="B7" s="80"/>
      <c r="C7" s="81"/>
      <c r="D7" s="74" t="s">
        <v>89</v>
      </c>
      <c r="E7" s="69"/>
      <c r="G7" s="75" t="s">
        <v>90</v>
      </c>
      <c r="J7" s="67" t="s">
        <v>91</v>
      </c>
      <c r="K7" s="68">
        <v>26.57</v>
      </c>
      <c r="M7" s="67" t="s">
        <v>74</v>
      </c>
      <c r="N7" s="68">
        <v>26.57</v>
      </c>
      <c r="P7" s="67" t="s">
        <v>92</v>
      </c>
      <c r="Q7" s="79"/>
      <c r="S7" s="67" t="s">
        <v>93</v>
      </c>
      <c r="T7" s="68">
        <v>23.635602360000004</v>
      </c>
    </row>
    <row r="8" spans="1:20" x14ac:dyDescent="0.35">
      <c r="A8" t="s">
        <v>94</v>
      </c>
      <c r="B8" s="80">
        <v>26.6</v>
      </c>
      <c r="C8" s="81"/>
      <c r="D8" s="77" t="s">
        <v>95</v>
      </c>
      <c r="E8" s="69">
        <v>26.511360000000003</v>
      </c>
      <c r="G8" s="67" t="s">
        <v>96</v>
      </c>
      <c r="H8" s="68">
        <v>24.8</v>
      </c>
      <c r="J8" s="75" t="s">
        <v>97</v>
      </c>
      <c r="M8" s="75" t="s">
        <v>98</v>
      </c>
      <c r="N8" s="68"/>
      <c r="P8" s="75" t="s">
        <v>99</v>
      </c>
      <c r="Q8" s="79"/>
      <c r="S8" s="67" t="s">
        <v>100</v>
      </c>
      <c r="T8" s="68">
        <v>24.774696235754334</v>
      </c>
    </row>
    <row r="9" spans="1:20" x14ac:dyDescent="0.35">
      <c r="A9" t="s">
        <v>101</v>
      </c>
      <c r="B9" s="80">
        <v>26.54</v>
      </c>
      <c r="C9" s="73"/>
      <c r="D9" s="77" t="s">
        <v>102</v>
      </c>
      <c r="E9" s="69">
        <v>26.59</v>
      </c>
      <c r="G9" s="67" t="s">
        <v>103</v>
      </c>
      <c r="H9" s="68">
        <v>26.48</v>
      </c>
      <c r="J9" s="67" t="s">
        <v>104</v>
      </c>
      <c r="K9" s="68">
        <v>26.58</v>
      </c>
      <c r="M9" s="67" t="s">
        <v>105</v>
      </c>
      <c r="N9" s="68">
        <v>29.43</v>
      </c>
      <c r="P9" s="67" t="s">
        <v>106</v>
      </c>
      <c r="Q9" s="79">
        <v>26.6</v>
      </c>
    </row>
    <row r="10" spans="1:20" x14ac:dyDescent="0.35">
      <c r="A10" t="s">
        <v>107</v>
      </c>
      <c r="B10" s="80">
        <v>26.44</v>
      </c>
      <c r="C10" s="73"/>
      <c r="D10" s="77" t="s">
        <v>108</v>
      </c>
      <c r="E10" s="69">
        <v>27.26</v>
      </c>
      <c r="G10" s="67" t="s">
        <v>109</v>
      </c>
      <c r="H10" s="68">
        <v>24.91</v>
      </c>
      <c r="J10" s="67" t="s">
        <v>110</v>
      </c>
      <c r="K10" s="68">
        <v>29.38</v>
      </c>
      <c r="M10" s="67" t="s">
        <v>111</v>
      </c>
      <c r="N10" s="68">
        <v>26.6</v>
      </c>
      <c r="P10" s="67" t="s">
        <v>112</v>
      </c>
      <c r="Q10" s="79">
        <v>26.61</v>
      </c>
    </row>
    <row r="11" spans="1:20" x14ac:dyDescent="0.35">
      <c r="A11" t="s">
        <v>113</v>
      </c>
      <c r="B11" s="72">
        <v>27.83</v>
      </c>
      <c r="C11" s="73"/>
      <c r="D11" s="77" t="s">
        <v>114</v>
      </c>
      <c r="E11" s="69">
        <v>26.46</v>
      </c>
      <c r="G11" s="67" t="s">
        <v>84</v>
      </c>
      <c r="H11" s="68">
        <v>27.58</v>
      </c>
      <c r="J11" s="67" t="s">
        <v>115</v>
      </c>
      <c r="K11" s="68">
        <v>24.91</v>
      </c>
      <c r="M11" s="67" t="s">
        <v>116</v>
      </c>
      <c r="N11" s="68">
        <v>27.26</v>
      </c>
      <c r="P11" s="67" t="s">
        <v>117</v>
      </c>
      <c r="Q11" s="79">
        <v>25.61</v>
      </c>
    </row>
    <row r="12" spans="1:20" x14ac:dyDescent="0.35">
      <c r="A12" t="s">
        <v>102</v>
      </c>
      <c r="B12" s="80">
        <v>26.59</v>
      </c>
      <c r="C12" s="73"/>
      <c r="D12" s="77" t="s">
        <v>118</v>
      </c>
      <c r="E12" s="69">
        <v>27.42</v>
      </c>
      <c r="G12" s="67" t="s">
        <v>119</v>
      </c>
      <c r="H12" s="68">
        <v>25.56</v>
      </c>
      <c r="J12" s="67" t="s">
        <v>120</v>
      </c>
      <c r="K12" s="68">
        <v>27.58</v>
      </c>
      <c r="M12" s="67" t="s">
        <v>121</v>
      </c>
      <c r="N12" s="68">
        <v>27.42</v>
      </c>
      <c r="P12" s="67" t="s">
        <v>122</v>
      </c>
      <c r="Q12" s="79">
        <v>26.58</v>
      </c>
    </row>
    <row r="13" spans="1:20" x14ac:dyDescent="0.35">
      <c r="A13" t="s">
        <v>110</v>
      </c>
      <c r="B13" s="72">
        <v>28.62</v>
      </c>
      <c r="C13" s="73"/>
      <c r="D13" s="77" t="s">
        <v>123</v>
      </c>
      <c r="E13" s="69">
        <v>25.31</v>
      </c>
      <c r="G13" s="67" t="s">
        <v>124</v>
      </c>
      <c r="H13" s="68">
        <v>25.57</v>
      </c>
      <c r="J13" s="67" t="s">
        <v>125</v>
      </c>
      <c r="K13" s="68">
        <v>25.56</v>
      </c>
      <c r="M13" s="67" t="s">
        <v>126</v>
      </c>
      <c r="N13" s="68">
        <v>28.83</v>
      </c>
      <c r="P13" s="67" t="s">
        <v>115</v>
      </c>
      <c r="Q13" s="79">
        <v>24.909573952804255</v>
      </c>
    </row>
    <row r="14" spans="1:20" x14ac:dyDescent="0.35">
      <c r="A14" t="s">
        <v>109</v>
      </c>
      <c r="B14" s="80">
        <v>24.91</v>
      </c>
      <c r="C14" s="73"/>
      <c r="D14" s="77" t="s">
        <v>127</v>
      </c>
      <c r="E14" s="69">
        <v>29.12</v>
      </c>
      <c r="G14" s="67" t="s">
        <v>128</v>
      </c>
      <c r="H14" s="68">
        <v>29.59</v>
      </c>
      <c r="J14" s="67" t="s">
        <v>129</v>
      </c>
      <c r="K14" s="68">
        <v>25.57</v>
      </c>
      <c r="M14" s="67" t="s">
        <v>130</v>
      </c>
      <c r="N14" s="68">
        <v>29.12</v>
      </c>
      <c r="P14" s="67" t="s">
        <v>131</v>
      </c>
      <c r="Q14" s="79">
        <v>25.57</v>
      </c>
    </row>
    <row r="15" spans="1:20" x14ac:dyDescent="0.35">
      <c r="A15" t="s">
        <v>132</v>
      </c>
      <c r="B15" s="80">
        <v>27.26</v>
      </c>
      <c r="C15" s="73"/>
      <c r="D15" s="77" t="s">
        <v>133</v>
      </c>
      <c r="E15" s="69">
        <v>29.47</v>
      </c>
      <c r="G15" s="67" t="s">
        <v>134</v>
      </c>
      <c r="H15" s="68">
        <v>25.58</v>
      </c>
      <c r="J15" s="67" t="s">
        <v>135</v>
      </c>
      <c r="K15" s="68">
        <v>28.83</v>
      </c>
      <c r="M15" s="67" t="s">
        <v>136</v>
      </c>
      <c r="N15" s="68"/>
      <c r="P15" s="67" t="s">
        <v>137</v>
      </c>
      <c r="Q15" s="79"/>
    </row>
    <row r="16" spans="1:20" x14ac:dyDescent="0.35">
      <c r="A16" t="s">
        <v>138</v>
      </c>
      <c r="B16" s="80">
        <v>27.42</v>
      </c>
      <c r="C16" s="73"/>
      <c r="D16" s="77" t="s">
        <v>139</v>
      </c>
      <c r="E16" s="69">
        <v>29.39</v>
      </c>
      <c r="G16" s="67" t="s">
        <v>140</v>
      </c>
      <c r="H16" s="68">
        <v>25.58</v>
      </c>
      <c r="J16" s="67" t="s">
        <v>141</v>
      </c>
      <c r="K16" s="68">
        <v>29.12</v>
      </c>
      <c r="M16" s="67" t="s">
        <v>142</v>
      </c>
      <c r="N16" s="68">
        <v>28.79</v>
      </c>
      <c r="P16" s="67" t="s">
        <v>143</v>
      </c>
      <c r="Q16" s="79">
        <v>25.58</v>
      </c>
    </row>
    <row r="17" spans="1:17" x14ac:dyDescent="0.35">
      <c r="A17" t="s">
        <v>126</v>
      </c>
      <c r="B17" s="82">
        <v>28.83</v>
      </c>
      <c r="C17" s="83"/>
      <c r="G17" s="67" t="s">
        <v>144</v>
      </c>
      <c r="J17" s="67" t="s">
        <v>145</v>
      </c>
      <c r="K17" s="68">
        <v>29.59</v>
      </c>
      <c r="M17" s="67" t="s">
        <v>146</v>
      </c>
      <c r="N17" s="68">
        <v>25.58</v>
      </c>
      <c r="P17" s="75" t="s">
        <v>147</v>
      </c>
      <c r="Q17" s="79"/>
    </row>
    <row r="18" spans="1:17" x14ac:dyDescent="0.35">
      <c r="A18" t="s">
        <v>148</v>
      </c>
      <c r="B18" s="82">
        <v>29.12</v>
      </c>
      <c r="C18" s="83"/>
      <c r="G18" s="67" t="s">
        <v>149</v>
      </c>
      <c r="H18" s="68">
        <v>26.1</v>
      </c>
      <c r="J18" s="67" t="s">
        <v>150</v>
      </c>
      <c r="K18" s="68">
        <v>25.58</v>
      </c>
      <c r="M18" s="67" t="s">
        <v>151</v>
      </c>
      <c r="N18" s="68">
        <v>29.39</v>
      </c>
      <c r="P18" s="67" t="s">
        <v>152</v>
      </c>
      <c r="Q18" s="79">
        <v>25.39</v>
      </c>
    </row>
    <row r="19" spans="1:17" x14ac:dyDescent="0.35">
      <c r="A19" t="s">
        <v>153</v>
      </c>
      <c r="B19" s="80">
        <v>29.47</v>
      </c>
      <c r="C19" s="83"/>
      <c r="G19" s="67" t="s">
        <v>143</v>
      </c>
      <c r="H19" s="68">
        <v>25.58</v>
      </c>
      <c r="J19" s="67" t="s">
        <v>140</v>
      </c>
      <c r="K19" s="68">
        <v>25.58</v>
      </c>
      <c r="M19" s="75" t="s">
        <v>154</v>
      </c>
      <c r="N19" s="68"/>
    </row>
    <row r="20" spans="1:17" x14ac:dyDescent="0.35">
      <c r="A20" t="s">
        <v>150</v>
      </c>
      <c r="B20" s="80">
        <v>25.58</v>
      </c>
      <c r="C20" s="73"/>
      <c r="G20" s="67" t="s">
        <v>155</v>
      </c>
      <c r="H20" s="68">
        <v>25.58</v>
      </c>
      <c r="J20" s="67" t="s">
        <v>156</v>
      </c>
      <c r="M20" s="67" t="s">
        <v>157</v>
      </c>
      <c r="N20" s="68">
        <v>27.29</v>
      </c>
    </row>
    <row r="21" spans="1:17" x14ac:dyDescent="0.35">
      <c r="A21" t="s">
        <v>158</v>
      </c>
      <c r="B21" s="80">
        <v>25.58</v>
      </c>
      <c r="C21" s="76"/>
      <c r="G21" s="67" t="s">
        <v>139</v>
      </c>
      <c r="H21" s="68">
        <v>28.74</v>
      </c>
      <c r="J21" s="67" t="s">
        <v>159</v>
      </c>
      <c r="K21" s="68">
        <v>25.58</v>
      </c>
      <c r="M21" s="67" t="s">
        <v>160</v>
      </c>
      <c r="N21" s="68">
        <v>27.45</v>
      </c>
    </row>
    <row r="22" spans="1:17" x14ac:dyDescent="0.35">
      <c r="A22" t="s">
        <v>161</v>
      </c>
      <c r="B22" s="80">
        <v>27.07</v>
      </c>
      <c r="C22" s="76"/>
      <c r="G22" s="75" t="s">
        <v>162</v>
      </c>
      <c r="J22" s="75" t="s">
        <v>163</v>
      </c>
      <c r="M22" s="67" t="s">
        <v>164</v>
      </c>
      <c r="N22" s="68">
        <v>30.22</v>
      </c>
    </row>
    <row r="23" spans="1:17" x14ac:dyDescent="0.35">
      <c r="A23" t="s">
        <v>165</v>
      </c>
      <c r="B23" s="80">
        <v>25.58</v>
      </c>
      <c r="C23" s="83"/>
      <c r="G23" s="67" t="s">
        <v>166</v>
      </c>
      <c r="H23" s="68">
        <v>27.29</v>
      </c>
      <c r="J23" s="67" t="s">
        <v>106</v>
      </c>
      <c r="K23" s="68">
        <v>27.29</v>
      </c>
    </row>
    <row r="24" spans="1:17" x14ac:dyDescent="0.35">
      <c r="A24" t="s">
        <v>167</v>
      </c>
      <c r="B24" s="80">
        <v>29.89</v>
      </c>
      <c r="C24" s="83"/>
      <c r="J24" s="67" t="s">
        <v>168</v>
      </c>
      <c r="K24" s="68">
        <v>30.22</v>
      </c>
    </row>
    <row r="25" spans="1:17" x14ac:dyDescent="0.35">
      <c r="A25" s="71" t="s">
        <v>169</v>
      </c>
      <c r="B25" s="80"/>
      <c r="C25" s="83"/>
    </row>
    <row r="26" spans="1:17" x14ac:dyDescent="0.35">
      <c r="A26" t="s">
        <v>170</v>
      </c>
      <c r="B26" s="72">
        <v>28.56</v>
      </c>
      <c r="C26" s="73"/>
    </row>
    <row r="27" spans="1:17" x14ac:dyDescent="0.35">
      <c r="A27" t="s">
        <v>171</v>
      </c>
      <c r="B27" s="80">
        <v>25.49</v>
      </c>
      <c r="C27" s="73"/>
    </row>
    <row r="28" spans="1:17" x14ac:dyDescent="0.35">
      <c r="A28" t="s">
        <v>172</v>
      </c>
      <c r="B28" s="80">
        <v>30.22</v>
      </c>
      <c r="C28" s="73"/>
    </row>
    <row r="29" spans="1:17" x14ac:dyDescent="0.35">
      <c r="A29" t="s">
        <v>173</v>
      </c>
      <c r="B29" s="80">
        <v>26.1</v>
      </c>
      <c r="C29" s="73"/>
    </row>
    <row r="30" spans="1:17" x14ac:dyDescent="0.35">
      <c r="A30"/>
      <c r="B30" s="76"/>
      <c r="C30" s="73"/>
    </row>
    <row r="31" spans="1:17" x14ac:dyDescent="0.35">
      <c r="A31"/>
      <c r="B31" s="84"/>
      <c r="C31" s="83"/>
    </row>
    <row r="32" spans="1:17" x14ac:dyDescent="0.35">
      <c r="A32"/>
      <c r="B32" s="76"/>
      <c r="C32" s="83"/>
    </row>
    <row r="33" spans="1:3" x14ac:dyDescent="0.35">
      <c r="A33"/>
      <c r="B33" s="76"/>
      <c r="C33" s="83"/>
    </row>
    <row r="34" spans="1:3" x14ac:dyDescent="0.35">
      <c r="A34"/>
      <c r="B34" s="76"/>
      <c r="C34" s="83"/>
    </row>
    <row r="35" spans="1:3" x14ac:dyDescent="0.35">
      <c r="A35"/>
      <c r="B35" s="76"/>
      <c r="C35" s="83"/>
    </row>
    <row r="36" spans="1:3" x14ac:dyDescent="0.35">
      <c r="A36"/>
      <c r="B36" s="76"/>
      <c r="C36" s="83"/>
    </row>
    <row r="37" spans="1:3" x14ac:dyDescent="0.35">
      <c r="A37"/>
      <c r="B37" s="76"/>
      <c r="C37" s="83"/>
    </row>
    <row r="38" spans="1:3" x14ac:dyDescent="0.35">
      <c r="A38"/>
      <c r="B38" s="76"/>
      <c r="C38" s="83"/>
    </row>
    <row r="39" spans="1:3" x14ac:dyDescent="0.35">
      <c r="A39"/>
      <c r="B39" s="123"/>
      <c r="C39" s="83"/>
    </row>
    <row r="40" spans="1:3" x14ac:dyDescent="0.35">
      <c r="A40"/>
      <c r="B40" s="123"/>
      <c r="C40" s="124"/>
    </row>
    <row r="41" spans="1:3" x14ac:dyDescent="0.35">
      <c r="A41"/>
      <c r="B41" s="123"/>
      <c r="C41" s="125"/>
    </row>
    <row r="42" spans="1:3" x14ac:dyDescent="0.35">
      <c r="A42"/>
      <c r="B42" s="76"/>
      <c r="C42" s="125"/>
    </row>
    <row r="43" spans="1:3" x14ac:dyDescent="0.35">
      <c r="A43"/>
      <c r="B43" s="76"/>
      <c r="C43" s="83"/>
    </row>
    <row r="44" spans="1:3" x14ac:dyDescent="0.35">
      <c r="A44"/>
      <c r="B44" s="76"/>
      <c r="C44" s="83"/>
    </row>
    <row r="45" spans="1:3" x14ac:dyDescent="0.35">
      <c r="A45"/>
      <c r="B45" s="76"/>
      <c r="C45" s="83"/>
    </row>
    <row r="46" spans="1:3" x14ac:dyDescent="0.35">
      <c r="A46"/>
      <c r="B46" s="84"/>
      <c r="C46" s="83"/>
    </row>
    <row r="47" spans="1:3" x14ac:dyDescent="0.35">
      <c r="A47"/>
      <c r="B47" s="76"/>
      <c r="C47" s="83"/>
    </row>
    <row r="48" spans="1:3" x14ac:dyDescent="0.35">
      <c r="A48"/>
      <c r="B48" s="76"/>
      <c r="C48" s="83"/>
    </row>
    <row r="49" spans="1:3" x14ac:dyDescent="0.35">
      <c r="A49"/>
      <c r="B49" s="76"/>
      <c r="C49" s="83"/>
    </row>
    <row r="50" spans="1:3" x14ac:dyDescent="0.35">
      <c r="A50"/>
      <c r="B50" s="76"/>
      <c r="C50" s="83"/>
    </row>
    <row r="51" spans="1:3" x14ac:dyDescent="0.35">
      <c r="A51"/>
      <c r="B51" s="76"/>
      <c r="C51" s="83"/>
    </row>
    <row r="52" spans="1:3" x14ac:dyDescent="0.35">
      <c r="A52"/>
      <c r="B52" s="76"/>
      <c r="C52" s="83"/>
    </row>
    <row r="53" spans="1:3" x14ac:dyDescent="0.35">
      <c r="A53"/>
      <c r="B53" s="84"/>
      <c r="C53" s="83"/>
    </row>
    <row r="54" spans="1:3" x14ac:dyDescent="0.35">
      <c r="A54"/>
      <c r="B54" s="76"/>
      <c r="C54" s="83"/>
    </row>
    <row r="55" spans="1:3" x14ac:dyDescent="0.35">
      <c r="A55"/>
      <c r="B55" s="76"/>
      <c r="C55" s="83"/>
    </row>
    <row r="56" spans="1:3" x14ac:dyDescent="0.35">
      <c r="A56"/>
      <c r="B56" s="76"/>
      <c r="C56" s="83"/>
    </row>
    <row r="57" spans="1:3" x14ac:dyDescent="0.35">
      <c r="A57"/>
      <c r="B57" s="76"/>
      <c r="C57" s="83"/>
    </row>
    <row r="58" spans="1:3" x14ac:dyDescent="0.35">
      <c r="A58"/>
      <c r="B58" s="76"/>
      <c r="C58" s="73"/>
    </row>
    <row r="59" spans="1:3" x14ac:dyDescent="0.35">
      <c r="A59"/>
      <c r="B59" s="76"/>
      <c r="C59" s="81"/>
    </row>
    <row r="60" spans="1:3" x14ac:dyDescent="0.35">
      <c r="A60"/>
      <c r="B60" s="76"/>
      <c r="C60" s="81"/>
    </row>
    <row r="61" spans="1:3" x14ac:dyDescent="0.35">
      <c r="A61"/>
      <c r="B61" s="76"/>
      <c r="C61" s="81"/>
    </row>
    <row r="62" spans="1:3" x14ac:dyDescent="0.35">
      <c r="A62"/>
      <c r="B62" s="76"/>
      <c r="C62" s="81"/>
    </row>
    <row r="63" spans="1:3" x14ac:dyDescent="0.35">
      <c r="A63"/>
      <c r="B63" s="76"/>
      <c r="C63" s="81"/>
    </row>
    <row r="64" spans="1:3" x14ac:dyDescent="0.35">
      <c r="A64"/>
      <c r="B64" s="76"/>
      <c r="C64" s="81"/>
    </row>
    <row r="65" spans="1:3" x14ac:dyDescent="0.35">
      <c r="A65"/>
      <c r="B65" s="76"/>
      <c r="C65" s="83"/>
    </row>
    <row r="66" spans="1:3" x14ac:dyDescent="0.35">
      <c r="A66"/>
      <c r="B66" s="76"/>
      <c r="C66" s="83"/>
    </row>
    <row r="67" spans="1:3" x14ac:dyDescent="0.35">
      <c r="A67"/>
      <c r="B67" s="84"/>
      <c r="C67" s="83"/>
    </row>
    <row r="68" spans="1:3" x14ac:dyDescent="0.35">
      <c r="A68"/>
      <c r="B68" s="76"/>
      <c r="C68" s="83"/>
    </row>
    <row r="69" spans="1:3" x14ac:dyDescent="0.35">
      <c r="A69"/>
      <c r="B69" s="76"/>
      <c r="C69" s="83"/>
    </row>
    <row r="70" spans="1:3" x14ac:dyDescent="0.35">
      <c r="A70"/>
      <c r="B70" s="84"/>
      <c r="C70" s="83"/>
    </row>
    <row r="71" spans="1:3" x14ac:dyDescent="0.35">
      <c r="A71"/>
      <c r="B71" s="76"/>
      <c r="C71" s="83"/>
    </row>
    <row r="72" spans="1:3" x14ac:dyDescent="0.35">
      <c r="A72"/>
      <c r="B72" s="84"/>
      <c r="C72" s="83"/>
    </row>
    <row r="73" spans="1:3" x14ac:dyDescent="0.35">
      <c r="A73"/>
      <c r="B73" s="76"/>
      <c r="C73" s="83"/>
    </row>
    <row r="74" spans="1:3" x14ac:dyDescent="0.35">
      <c r="A74"/>
      <c r="B74" s="76"/>
      <c r="C74" s="83"/>
    </row>
    <row r="75" spans="1:3" x14ac:dyDescent="0.35">
      <c r="A75"/>
      <c r="B75" s="76"/>
      <c r="C75" s="83"/>
    </row>
    <row r="76" spans="1:3" x14ac:dyDescent="0.35">
      <c r="A76"/>
      <c r="B76" s="76"/>
      <c r="C76" s="83"/>
    </row>
    <row r="77" spans="1:3" x14ac:dyDescent="0.35">
      <c r="A77"/>
      <c r="B77" s="76"/>
      <c r="C77" s="83"/>
    </row>
    <row r="78" spans="1:3" x14ac:dyDescent="0.35">
      <c r="A78"/>
      <c r="B78" s="85"/>
      <c r="C78" s="83"/>
    </row>
    <row r="79" spans="1:3" x14ac:dyDescent="0.35">
      <c r="A79"/>
      <c r="B79" s="85"/>
      <c r="C79" s="81"/>
    </row>
    <row r="80" spans="1:3" x14ac:dyDescent="0.35">
      <c r="A80"/>
      <c r="B80" s="85"/>
      <c r="C80" s="81"/>
    </row>
    <row r="81" spans="1:3" x14ac:dyDescent="0.35">
      <c r="A81"/>
      <c r="B81" s="85"/>
      <c r="C81" s="83"/>
    </row>
    <row r="82" spans="1:3" x14ac:dyDescent="0.35">
      <c r="A82"/>
      <c r="B82" s="125"/>
      <c r="C82" s="83"/>
    </row>
    <row r="83" spans="1:3" x14ac:dyDescent="0.35">
      <c r="A83"/>
      <c r="B83" s="125"/>
      <c r="C83" s="124"/>
    </row>
    <row r="84" spans="1:3" x14ac:dyDescent="0.35">
      <c r="A84"/>
      <c r="B84" s="76"/>
      <c r="C84" s="125"/>
    </row>
    <row r="85" spans="1:3" x14ac:dyDescent="0.35">
      <c r="A85"/>
      <c r="B85" s="76"/>
      <c r="C85" s="81"/>
    </row>
    <row r="86" spans="1:3" x14ac:dyDescent="0.35">
      <c r="A86"/>
      <c r="B86" s="76"/>
      <c r="C86" s="81"/>
    </row>
    <row r="87" spans="1:3" x14ac:dyDescent="0.35">
      <c r="A87"/>
      <c r="B87" s="84"/>
      <c r="C87" s="83"/>
    </row>
    <row r="88" spans="1:3" x14ac:dyDescent="0.35">
      <c r="A88"/>
      <c r="B88" s="76"/>
      <c r="C88" s="83"/>
    </row>
    <row r="89" spans="1:3" x14ac:dyDescent="0.35">
      <c r="A89"/>
      <c r="B89" s="84"/>
      <c r="C89" s="83"/>
    </row>
    <row r="90" spans="1:3" x14ac:dyDescent="0.35">
      <c r="A90"/>
      <c r="B90" s="76"/>
      <c r="C90" s="83"/>
    </row>
    <row r="91" spans="1:3" x14ac:dyDescent="0.35">
      <c r="A91"/>
      <c r="B91" s="76"/>
      <c r="C91" s="83"/>
    </row>
    <row r="92" spans="1:3" x14ac:dyDescent="0.35">
      <c r="A92"/>
      <c r="B92" s="84"/>
      <c r="C92" s="83"/>
    </row>
    <row r="93" spans="1:3" x14ac:dyDescent="0.35">
      <c r="A93"/>
      <c r="B93" s="76"/>
      <c r="C93" s="73"/>
    </row>
    <row r="94" spans="1:3" x14ac:dyDescent="0.35">
      <c r="A94"/>
      <c r="B94" s="85"/>
      <c r="C94" s="83"/>
    </row>
    <row r="95" spans="1:3" x14ac:dyDescent="0.35">
      <c r="A95"/>
      <c r="B95" s="85"/>
      <c r="C95" s="81"/>
    </row>
    <row r="96" spans="1:3" x14ac:dyDescent="0.35">
      <c r="A96"/>
      <c r="B96" s="85"/>
      <c r="C96" s="81"/>
    </row>
    <row r="97" spans="1:3" x14ac:dyDescent="0.35">
      <c r="A97"/>
      <c r="B97" s="86"/>
      <c r="C97" s="81"/>
    </row>
    <row r="98" spans="1:3" x14ac:dyDescent="0.35">
      <c r="A98"/>
      <c r="B98" s="76"/>
      <c r="C98" s="87"/>
    </row>
    <row r="99" spans="1:3" x14ac:dyDescent="0.35">
      <c r="A99"/>
      <c r="B99" s="76"/>
      <c r="C99" s="81"/>
    </row>
    <row r="100" spans="1:3" x14ac:dyDescent="0.35">
      <c r="A100"/>
      <c r="B100" s="85"/>
      <c r="C100" s="81"/>
    </row>
    <row r="101" spans="1:3" x14ac:dyDescent="0.35">
      <c r="A101"/>
      <c r="B101" s="85"/>
      <c r="C101" s="81"/>
    </row>
    <row r="102" spans="1:3" x14ac:dyDescent="0.35">
      <c r="A102"/>
      <c r="B102" s="76"/>
      <c r="C102" s="81"/>
    </row>
    <row r="103" spans="1:3" x14ac:dyDescent="0.35">
      <c r="A103"/>
      <c r="B103" s="76"/>
      <c r="C103" s="83"/>
    </row>
    <row r="104" spans="1:3" x14ac:dyDescent="0.35">
      <c r="A104"/>
      <c r="B104" s="76"/>
      <c r="C104" s="83"/>
    </row>
    <row r="105" spans="1:3" x14ac:dyDescent="0.35">
      <c r="A105"/>
      <c r="B105" s="85"/>
      <c r="C105" s="83"/>
    </row>
    <row r="106" spans="1:3" x14ac:dyDescent="0.35">
      <c r="A106"/>
      <c r="B106" s="88"/>
      <c r="C106" s="83"/>
    </row>
    <row r="107" spans="1:3" x14ac:dyDescent="0.35">
      <c r="A107"/>
      <c r="B107" s="88"/>
      <c r="C107" s="83"/>
    </row>
    <row r="108" spans="1:3" x14ac:dyDescent="0.35">
      <c r="A108"/>
      <c r="B108" s="88"/>
      <c r="C108" s="83"/>
    </row>
    <row r="109" spans="1:3" x14ac:dyDescent="0.35">
      <c r="A109"/>
      <c r="B109" s="88"/>
      <c r="C109" s="83"/>
    </row>
    <row r="110" spans="1:3" x14ac:dyDescent="0.35">
      <c r="A110"/>
      <c r="B110" s="88"/>
      <c r="C110" s="83"/>
    </row>
    <row r="111" spans="1:3" x14ac:dyDescent="0.35">
      <c r="A111"/>
      <c r="B111" s="89"/>
      <c r="C111" s="83"/>
    </row>
    <row r="112" spans="1:3" x14ac:dyDescent="0.35">
      <c r="A112"/>
      <c r="B112" s="89"/>
      <c r="C112" s="83"/>
    </row>
    <row r="113" spans="1:3" x14ac:dyDescent="0.35">
      <c r="A113"/>
      <c r="B113" s="89"/>
      <c r="C113" s="83"/>
    </row>
    <row r="114" spans="1:3" x14ac:dyDescent="0.35">
      <c r="A114"/>
      <c r="B114" s="89"/>
      <c r="C114" s="83"/>
    </row>
    <row r="115" spans="1:3" x14ac:dyDescent="0.35">
      <c r="A115"/>
      <c r="B115" s="89"/>
      <c r="C115" s="83"/>
    </row>
    <row r="116" spans="1:3" x14ac:dyDescent="0.35">
      <c r="A116"/>
      <c r="B116" s="89"/>
      <c r="C116" s="83"/>
    </row>
    <row r="117" spans="1:3" x14ac:dyDescent="0.35">
      <c r="A117"/>
      <c r="B117" s="89"/>
      <c r="C117" s="83"/>
    </row>
    <row r="118" spans="1:3" x14ac:dyDescent="0.35">
      <c r="A118"/>
      <c r="B118" s="89"/>
      <c r="C118" s="83"/>
    </row>
    <row r="119" spans="1:3" x14ac:dyDescent="0.35">
      <c r="A119"/>
      <c r="B119" s="88"/>
      <c r="C119" s="83"/>
    </row>
    <row r="120" spans="1:3" x14ac:dyDescent="0.35">
      <c r="A120"/>
      <c r="B120" s="88"/>
      <c r="C120" s="83"/>
    </row>
    <row r="121" spans="1:3" x14ac:dyDescent="0.35">
      <c r="A121"/>
      <c r="B121" s="88"/>
      <c r="C121" s="83"/>
    </row>
    <row r="122" spans="1:3" x14ac:dyDescent="0.35">
      <c r="A122"/>
      <c r="B122" s="88"/>
      <c r="C122" s="83"/>
    </row>
    <row r="123" spans="1:3" x14ac:dyDescent="0.35">
      <c r="A123"/>
      <c r="B123" s="89"/>
      <c r="C123" s="83"/>
    </row>
    <row r="124" spans="1:3" x14ac:dyDescent="0.35">
      <c r="A124"/>
      <c r="B124" s="88"/>
      <c r="C124" s="83"/>
    </row>
    <row r="125" spans="1:3" x14ac:dyDescent="0.35">
      <c r="A125"/>
      <c r="B125" s="88"/>
      <c r="C125" s="83"/>
    </row>
    <row r="126" spans="1:3" x14ac:dyDescent="0.35">
      <c r="A126"/>
      <c r="B126" s="88"/>
      <c r="C126" s="83"/>
    </row>
    <row r="127" spans="1:3" x14ac:dyDescent="0.35">
      <c r="A127"/>
      <c r="B127" s="88"/>
      <c r="C127" s="83"/>
    </row>
    <row r="128" spans="1:3" x14ac:dyDescent="0.35">
      <c r="A128"/>
      <c r="B128" s="88"/>
      <c r="C128" s="83"/>
    </row>
    <row r="129" spans="1:3" x14ac:dyDescent="0.35">
      <c r="A129"/>
      <c r="B129" s="88"/>
      <c r="C129" s="83"/>
    </row>
    <row r="130" spans="1:3" x14ac:dyDescent="0.35">
      <c r="A130"/>
      <c r="B130" s="88"/>
      <c r="C130" s="83"/>
    </row>
    <row r="131" spans="1:3" x14ac:dyDescent="0.35">
      <c r="A131"/>
      <c r="B131" s="88"/>
      <c r="C131" s="83"/>
    </row>
    <row r="132" spans="1:3" x14ac:dyDescent="0.35">
      <c r="A132"/>
      <c r="B132"/>
      <c r="C132" s="83"/>
    </row>
    <row r="133" spans="1:3" x14ac:dyDescent="0.35">
      <c r="A133"/>
      <c r="B133"/>
      <c r="C133"/>
    </row>
    <row r="134" spans="1:3" x14ac:dyDescent="0.35">
      <c r="A134"/>
      <c r="B134"/>
      <c r="C134"/>
    </row>
    <row r="135" spans="1:3" x14ac:dyDescent="0.35">
      <c r="C135" s="90"/>
    </row>
    <row r="137" spans="1:3" x14ac:dyDescent="0.35">
      <c r="C137" s="91"/>
    </row>
    <row r="138" spans="1:3" x14ac:dyDescent="0.35">
      <c r="C138" s="91"/>
    </row>
    <row r="139" spans="1:3" x14ac:dyDescent="0.35">
      <c r="C139" s="91"/>
    </row>
    <row r="141" spans="1:3" x14ac:dyDescent="0.35">
      <c r="C141" s="91"/>
    </row>
    <row r="142" spans="1:3" x14ac:dyDescent="0.35">
      <c r="C142" s="91"/>
    </row>
  </sheetData>
  <mergeCells count="4">
    <mergeCell ref="B39:B41"/>
    <mergeCell ref="C40:C42"/>
    <mergeCell ref="B82:B83"/>
    <mergeCell ref="C83:C84"/>
  </mergeCells>
  <hyperlinks>
    <hyperlink ref="B1" r:id="rId1" xr:uid="{8FB17BD1-F6AA-4761-96AD-C20FE4E9B75C}"/>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F6CEF-7F81-4023-94C0-70D4D69EE54E}">
  <sheetPr>
    <tabColor rgb="FF92D050"/>
  </sheetPr>
  <dimension ref="A1:B17"/>
  <sheetViews>
    <sheetView workbookViewId="0">
      <selection activeCell="A10" sqref="A10"/>
    </sheetView>
  </sheetViews>
  <sheetFormatPr defaultRowHeight="14.5" x14ac:dyDescent="0.35"/>
  <cols>
    <col min="1" max="1" width="30.81640625" customWidth="1"/>
    <col min="2" max="2" width="15.453125" customWidth="1"/>
  </cols>
  <sheetData>
    <row r="1" spans="1:2" x14ac:dyDescent="0.35">
      <c r="A1" t="s">
        <v>174</v>
      </c>
    </row>
    <row r="2" spans="1:2" x14ac:dyDescent="0.35">
      <c r="B2" t="s">
        <v>175</v>
      </c>
    </row>
    <row r="3" spans="1:2" x14ac:dyDescent="0.35">
      <c r="A3" t="s">
        <v>176</v>
      </c>
      <c r="B3" s="90">
        <v>24</v>
      </c>
    </row>
    <row r="4" spans="1:2" x14ac:dyDescent="0.35">
      <c r="A4" t="s">
        <v>177</v>
      </c>
      <c r="B4" s="90">
        <v>26.36</v>
      </c>
    </row>
    <row r="5" spans="1:2" x14ac:dyDescent="0.35">
      <c r="A5" t="s">
        <v>178</v>
      </c>
      <c r="B5" s="90">
        <v>24.51</v>
      </c>
    </row>
    <row r="6" spans="1:2" x14ac:dyDescent="0.35">
      <c r="A6" t="s">
        <v>179</v>
      </c>
      <c r="B6" s="90">
        <v>24</v>
      </c>
    </row>
    <row r="7" spans="1:2" x14ac:dyDescent="0.35">
      <c r="A7" t="s">
        <v>180</v>
      </c>
      <c r="B7" s="90">
        <v>25.11</v>
      </c>
    </row>
    <row r="8" spans="1:2" x14ac:dyDescent="0.35">
      <c r="A8" t="s">
        <v>181</v>
      </c>
      <c r="B8" s="90">
        <v>24</v>
      </c>
    </row>
    <row r="9" spans="1:2" x14ac:dyDescent="0.35">
      <c r="A9" t="s">
        <v>182</v>
      </c>
      <c r="B9" s="90">
        <v>26.36</v>
      </c>
    </row>
    <row r="10" spans="1:2" x14ac:dyDescent="0.35">
      <c r="A10" t="s">
        <v>183</v>
      </c>
      <c r="B10" s="90">
        <v>13.83</v>
      </c>
    </row>
    <row r="11" spans="1:2" x14ac:dyDescent="0.35">
      <c r="B11" s="90"/>
    </row>
    <row r="12" spans="1:2" x14ac:dyDescent="0.35">
      <c r="B12" s="90"/>
    </row>
    <row r="13" spans="1:2" x14ac:dyDescent="0.35">
      <c r="B13" s="90"/>
    </row>
    <row r="14" spans="1:2" x14ac:dyDescent="0.35">
      <c r="B14" s="90"/>
    </row>
    <row r="15" spans="1:2" x14ac:dyDescent="0.35">
      <c r="B15" s="90"/>
    </row>
    <row r="16" spans="1:2" x14ac:dyDescent="0.35">
      <c r="B16" s="90"/>
    </row>
    <row r="17" spans="2:2" x14ac:dyDescent="0.35">
      <c r="B17" s="9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9607d24-3269-4a84-925c-9c6ef1c10d1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22E3E9CDF8CA0469A721946960C1C35" ma:contentTypeVersion="14" ma:contentTypeDescription="Create a new document." ma:contentTypeScope="" ma:versionID="0607be2e5c3ff44706f516c203d0f025">
  <xsd:schema xmlns:xsd="http://www.w3.org/2001/XMLSchema" xmlns:xs="http://www.w3.org/2001/XMLSchema" xmlns:p="http://schemas.microsoft.com/office/2006/metadata/properties" xmlns:ns3="a9607d24-3269-4a84-925c-9c6ef1c10d17" xmlns:ns4="9e438032-a2e8-4d9f-80e2-67b00a49a20b" targetNamespace="http://schemas.microsoft.com/office/2006/metadata/properties" ma:root="true" ma:fieldsID="ac836b7f326c83e3177fa2d3273a5e31" ns3:_="" ns4:_="">
    <xsd:import namespace="a9607d24-3269-4a84-925c-9c6ef1c10d17"/>
    <xsd:import namespace="9e438032-a2e8-4d9f-80e2-67b00a49a20b"/>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607d24-3269-4a84-925c-9c6ef1c10d1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438032-a2e8-4d9f-80e2-67b00a49a20b"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74E7AC-2380-4367-B3C0-3A31A8400BCF}">
  <ds:schemaRefs>
    <ds:schemaRef ds:uri="http://purl.org/dc/terms/"/>
    <ds:schemaRef ds:uri="http://purl.org/dc/dcmitype/"/>
    <ds:schemaRef ds:uri="http://schemas.microsoft.com/office/infopath/2007/PartnerControls"/>
    <ds:schemaRef ds:uri="http://schemas.openxmlformats.org/package/2006/metadata/core-properties"/>
    <ds:schemaRef ds:uri="9e438032-a2e8-4d9f-80e2-67b00a49a20b"/>
    <ds:schemaRef ds:uri="http://schemas.microsoft.com/office/2006/documentManagement/types"/>
    <ds:schemaRef ds:uri="http://purl.org/dc/elements/1.1/"/>
    <ds:schemaRef ds:uri="a9607d24-3269-4a84-925c-9c6ef1c10d17"/>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B437210-2F36-4C9B-A306-C3145E5A6F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607d24-3269-4a84-925c-9c6ef1c10d17"/>
    <ds:schemaRef ds:uri="9e438032-a2e8-4d9f-80e2-67b00a49a2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160FC3-E605-45B3-83CA-F24E35E206C8}">
  <ds:schemaRefs>
    <ds:schemaRef ds:uri="http://schemas.microsoft.com/sharepoint/v3/contenttype/forms"/>
  </ds:schemaRefs>
</ds:datastoreItem>
</file>

<file path=docMetadata/LabelInfo.xml><?xml version="1.0" encoding="utf-8"?>
<clbl:labelList xmlns:clbl="http://schemas.microsoft.com/office/2020/mipLabelMetadata">
  <clbl:label id="{8fd7c08e-9c24-436d-a6ad-a8ecb8394d49}" enabled="1" method="Standard" siteId="{6e5a37bb-a961-4e4f-baae-2798a2245f3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Contribution Calculator</vt:lpstr>
      <vt:lpstr>Cost centres</vt:lpstr>
      <vt:lpstr>Lookup</vt:lpstr>
      <vt:lpstr>Day Service &amp; SBR</vt:lpstr>
      <vt:lpstr>Direct Payments (PA)</vt:lpstr>
      <vt:lpstr>External Resi &amp; Nurs - FP4C</vt:lpstr>
      <vt:lpstr>Homecare</vt:lpstr>
      <vt:lpstr>Supp Living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Rickett</dc:creator>
  <cp:lastModifiedBy>Jo Sunderland</cp:lastModifiedBy>
  <dcterms:created xsi:type="dcterms:W3CDTF">2026-04-24T05:27:25Z</dcterms:created>
  <dcterms:modified xsi:type="dcterms:W3CDTF">2026-05-06T06:16:38Z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0x010100E22E3E9CDF8CA0469A721946960C1C35</vt:lpwstr>
  </property>
</Properties>
</file>