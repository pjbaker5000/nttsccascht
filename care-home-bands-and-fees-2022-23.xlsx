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ottsgov-my.sharepoint.com/personal/helen_manser_nottscc_gov_uk/Documents/Documents/D2A/"/>
    </mc:Choice>
  </mc:AlternateContent>
  <xr:revisionPtr revIDLastSave="0" documentId="8_{11B8FB02-318B-4884-A8A7-E2400FAC85C4}" xr6:coauthVersionLast="47" xr6:coauthVersionMax="47" xr10:uidLastSave="{00000000-0000-0000-0000-000000000000}"/>
  <bookViews>
    <workbookView xWindow="-110" yWindow="-110" windowWidth="19420" windowHeight="10420" xr2:uid="{6ED6F832-F806-4AA4-961F-DCE7379F07FE}"/>
  </bookViews>
  <sheets>
    <sheet name="Care Home List" sheetId="1" r:id="rId1"/>
    <sheet name="Banding Fees" sheetId="2" r:id="rId2"/>
  </sheets>
  <definedNames>
    <definedName name="_xlnm._FilterDatabase" localSheetId="0" hidden="1">'Care Home List'!$A$1:$D$1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2" i="1"/>
</calcChain>
</file>

<file path=xl/sharedStrings.xml><?xml version="1.0" encoding="utf-8"?>
<sst xmlns="http://schemas.openxmlformats.org/spreadsheetml/2006/main" count="321" uniqueCount="313">
  <si>
    <t>NAME OF CARE HOME</t>
  </si>
  <si>
    <t>Address</t>
  </si>
  <si>
    <t>Quality Band 22/23</t>
  </si>
  <si>
    <t>Acer Court Care Home</t>
  </si>
  <si>
    <t>172 Nottingham Road</t>
  </si>
  <si>
    <t>Adbolton Hall Nursing Home</t>
  </si>
  <si>
    <t>Adbolton Lane</t>
  </si>
  <si>
    <t>Albemarle Court Care Home</t>
  </si>
  <si>
    <t>738 Mansfield Road</t>
  </si>
  <si>
    <t>Albemarle Hall Care Home</t>
  </si>
  <si>
    <t>4 Albermarle Road</t>
  </si>
  <si>
    <t>Alder House Care Home</t>
  </si>
  <si>
    <t>172a Nottingham Rd</t>
  </si>
  <si>
    <t>Aldercar Care Home</t>
  </si>
  <si>
    <t>36 Wood Lane</t>
  </si>
  <si>
    <t>Alexandra House Nursing Home</t>
  </si>
  <si>
    <t>Wroughton Court, 191 Nottingham Rd</t>
  </si>
  <si>
    <t>Amber View</t>
  </si>
  <si>
    <t>35 Wagstaff lane, Jacksdale</t>
  </si>
  <si>
    <t>Annesley Lodge Care Home</t>
  </si>
  <si>
    <t>Annesley Road</t>
  </si>
  <si>
    <t>Ashcroft Care Home</t>
  </si>
  <si>
    <t>Langton Road</t>
  </si>
  <si>
    <t>Ashdale Care Home</t>
  </si>
  <si>
    <t>42 The Park, Off Park Avenue</t>
  </si>
  <si>
    <t>Ashfield Nursing Home</t>
  </si>
  <si>
    <t>Kirkby In Ashfield</t>
  </si>
  <si>
    <t>Ashlands Care Home</t>
  </si>
  <si>
    <t>152 Southwell Road East</t>
  </si>
  <si>
    <t>Ashley House Care Home</t>
  </si>
  <si>
    <t>Sunnyside</t>
  </si>
  <si>
    <t>Ashton Court Care Home</t>
  </si>
  <si>
    <t>56 Three Tuns Road</t>
  </si>
  <si>
    <t>New Lane</t>
  </si>
  <si>
    <t>116 Clipstone Road West</t>
  </si>
  <si>
    <t>Baily House Care Home</t>
  </si>
  <si>
    <t>Botany Avenue</t>
  </si>
  <si>
    <t>Balmore Country House Care Home</t>
  </si>
  <si>
    <t>245 Loughborough Road</t>
  </si>
  <si>
    <t>Barnby Court Care Home</t>
  </si>
  <si>
    <t>Barnby Moor</t>
  </si>
  <si>
    <t>Beauvale Care Home</t>
  </si>
  <si>
    <t>Moor Lane</t>
  </si>
  <si>
    <t>Beaumont Care Home</t>
  </si>
  <si>
    <t>Beardall Street, Huckall</t>
  </si>
  <si>
    <t>Beech Court Care Home</t>
  </si>
  <si>
    <t>52 Church Lane</t>
  </si>
  <si>
    <t>Beech House Care Home</t>
  </si>
  <si>
    <t>292/294 Carlton Road</t>
  </si>
  <si>
    <t>Beeches Care Home (The) Gedling</t>
  </si>
  <si>
    <t>55 Furlong Street</t>
  </si>
  <si>
    <t>Beeches Care Home (The) Mansfield</t>
  </si>
  <si>
    <t>59 High Street</t>
  </si>
  <si>
    <t>Belvoir Vale Care Home</t>
  </si>
  <si>
    <t>Old Melton Road</t>
  </si>
  <si>
    <t>Berry Hill Care Centre</t>
  </si>
  <si>
    <t>Berry Hill Lane</t>
  </si>
  <si>
    <t>Blyth Country House Care Home</t>
  </si>
  <si>
    <t>Spital Rd</t>
  </si>
  <si>
    <t>Boughton Manor Care Home</t>
  </si>
  <si>
    <t>Church Road</t>
  </si>
  <si>
    <t>Bowbridge Court Care Home</t>
  </si>
  <si>
    <t xml:space="preserve">Bowbridge Road </t>
  </si>
  <si>
    <t>Brailsford House Care Home</t>
  </si>
  <si>
    <t>1 Main Street</t>
  </si>
  <si>
    <t>Bramcote Hills Care Home</t>
  </si>
  <si>
    <t>Sandringham Drive</t>
  </si>
  <si>
    <t>Bramwell Care Home</t>
  </si>
  <si>
    <t>Bramwell Drive</t>
  </si>
  <si>
    <t>Branthwaite Care Home</t>
  </si>
  <si>
    <t>34 Welham Road</t>
  </si>
  <si>
    <t>Braywood Gardens Care Home</t>
  </si>
  <si>
    <t>Millbrook Drive</t>
  </si>
  <si>
    <t>Broadgate Care Home</t>
  </si>
  <si>
    <t>108-114 Broadgate</t>
  </si>
  <si>
    <t>Broadlands Care Home</t>
  </si>
  <si>
    <t>28 Shelford Road</t>
  </si>
  <si>
    <t>Buddleia House Care Home</t>
  </si>
  <si>
    <t>Croft Avenue, Hucknall</t>
  </si>
  <si>
    <t>Byars Care Home (The)</t>
  </si>
  <si>
    <t>Caythorpe</t>
  </si>
  <si>
    <t>Camellia House Care Home</t>
  </si>
  <si>
    <t>109 Main Street</t>
  </si>
  <si>
    <t>Carlton Care Home</t>
  </si>
  <si>
    <t>398 Carlton Hill</t>
  </si>
  <si>
    <t>Charnwood Care Home</t>
  </si>
  <si>
    <t>29 Station Road</t>
  </si>
  <si>
    <t>Red Oaks (formerly Avalon)</t>
  </si>
  <si>
    <t>Aslockton Hall Care Home</t>
  </si>
  <si>
    <t>Cherry Holt Care Home</t>
  </si>
  <si>
    <t>28 Welham Road</t>
  </si>
  <si>
    <t>Chetwynd</t>
  </si>
  <si>
    <t>Pearson Avenue</t>
  </si>
  <si>
    <t>Church Farm at Skylarks</t>
  </si>
  <si>
    <t>Church Farm Care Home</t>
  </si>
  <si>
    <t>Church Lane</t>
  </si>
  <si>
    <t>Churchfield Care Centre</t>
  </si>
  <si>
    <t>Off Churchfield Drive</t>
  </si>
  <si>
    <t>Clipstone Hall and Lodge</t>
  </si>
  <si>
    <t>Mansfield Rd Mansfield</t>
  </si>
  <si>
    <t>Clumber Court Care Home - Closed</t>
  </si>
  <si>
    <t>Bolham Lane</t>
  </si>
  <si>
    <t>Copper Beeches Care Home</t>
  </si>
  <si>
    <t>138 High Street</t>
  </si>
  <si>
    <t>Coppice Lodge Care Home</t>
  </si>
  <si>
    <t>117 Coppice Road</t>
  </si>
  <si>
    <t>Derbyshire House Care Home</t>
  </si>
  <si>
    <t>Station Road</t>
  </si>
  <si>
    <t>Eastwood House Care Home</t>
  </si>
  <si>
    <t>24 Church Street</t>
  </si>
  <si>
    <t>Eden Lodge Care Home</t>
  </si>
  <si>
    <t>Park Road</t>
  </si>
  <si>
    <t>Edward House Care Home</t>
  </si>
  <si>
    <t>175 Nottingham Road</t>
  </si>
  <si>
    <t>Elmbank Care Home</t>
  </si>
  <si>
    <t>35 Robinson Road</t>
  </si>
  <si>
    <t>Arnold Nursing Home (Previously - Ernehale Lodge Care Home)</t>
  </si>
  <si>
    <t>82a Furlong Street</t>
  </si>
  <si>
    <t>Rusticus Care Home (Church Farm Group)</t>
  </si>
  <si>
    <t>Owthorpe Road</t>
  </si>
  <si>
    <t>Falcon House Care Home</t>
  </si>
  <si>
    <t>2 Middle Street</t>
  </si>
  <si>
    <t>Farthings Care Home (The)</t>
  </si>
  <si>
    <t>High Street</t>
  </si>
  <si>
    <t>Fernleaf Care Home</t>
  </si>
  <si>
    <t>26 Chesterfield Road South</t>
  </si>
  <si>
    <t>Field House Care Home (Church Farm Group)</t>
  </si>
  <si>
    <t>11 Main Road</t>
  </si>
  <si>
    <t>Firs (The) Care Home</t>
  </si>
  <si>
    <t xml:space="preserve">old epperstone rd </t>
  </si>
  <si>
    <t>Five Gables Care Home</t>
  </si>
  <si>
    <t>113 Victoria Road</t>
  </si>
  <si>
    <t>Fosse Way View</t>
  </si>
  <si>
    <t>Forest Hill Nursing Home</t>
  </si>
  <si>
    <t>Thievesdale Lane</t>
  </si>
  <si>
    <t>Forest Manor Care Home</t>
  </si>
  <si>
    <t>Mansfield Road</t>
  </si>
  <si>
    <t>Gateford Hill Care Home</t>
  </si>
  <si>
    <t>Gateford Hill</t>
  </si>
  <si>
    <t>Gedling Village Care Home</t>
  </si>
  <si>
    <t>73 Arnold Road Gedling</t>
  </si>
  <si>
    <t>GHC (Formally Giltbrook) Care Home</t>
  </si>
  <si>
    <t>472 Nottingham Road</t>
  </si>
  <si>
    <t>Glenesk Care Home</t>
  </si>
  <si>
    <t>The Crescent, Queen Street</t>
  </si>
  <si>
    <t>Grand Care Centre (The)</t>
  </si>
  <si>
    <t xml:space="preserve">Greythorne Drive </t>
  </si>
  <si>
    <t>Greenacres Grange Care Home</t>
  </si>
  <si>
    <t>Greenacres Park, Wingfield Avenue</t>
  </si>
  <si>
    <t>Harrier House</t>
  </si>
  <si>
    <t>Hurricane Road, Hucknall</t>
  </si>
  <si>
    <t>Hatzfeld House Care Home</t>
  </si>
  <si>
    <t>10b Mansfield Road</t>
  </si>
  <si>
    <t>Hawthorne Care Home</t>
  </si>
  <si>
    <t>School Walk</t>
  </si>
  <si>
    <t>Haywood Oaks Care Home</t>
  </si>
  <si>
    <t>Kirby Close</t>
  </si>
  <si>
    <t xml:space="preserve">Hazelford Care Home          </t>
  </si>
  <si>
    <t>Boat Lane</t>
  </si>
  <si>
    <t>Hazelgrove Care Home</t>
  </si>
  <si>
    <t>1a Farleys Lane</t>
  </si>
  <si>
    <t>Herons Care Home (The)</t>
  </si>
  <si>
    <t>Swiney Way</t>
  </si>
  <si>
    <t>Eddingly Lodge (Previously -Highfields) Care Home</t>
  </si>
  <si>
    <t>Hollies Care Home (The)</t>
  </si>
  <si>
    <t>19-23 London Road</t>
  </si>
  <si>
    <t>Jubilee Court Care Home</t>
  </si>
  <si>
    <t>Nabbs Lane</t>
  </si>
  <si>
    <t>Jubilee Court Nursing Home (formerly Rufford)</t>
  </si>
  <si>
    <t>Gateford Road</t>
  </si>
  <si>
    <t>Kingfisher Court</t>
  </si>
  <si>
    <t>Kingfisher Way</t>
  </si>
  <si>
    <t>Lancaster Grange Care Home</t>
  </si>
  <si>
    <t>Cross Lane</t>
  </si>
  <si>
    <t>Landermeads Care Home</t>
  </si>
  <si>
    <t>265 High Road</t>
  </si>
  <si>
    <t>Langwith Lodge Care Home</t>
  </si>
  <si>
    <t>The Park</t>
  </si>
  <si>
    <t>Lawn Park Care Home</t>
  </si>
  <si>
    <t>Off Lucknow Drive</t>
  </si>
  <si>
    <t>Leawood Manor Care Home</t>
  </si>
  <si>
    <t>Hilton Cresent</t>
  </si>
  <si>
    <t>Leen Valley Care Home - Closed</t>
  </si>
  <si>
    <t>3 Nottingham Road</t>
  </si>
  <si>
    <t>Lound Hall Care Home</t>
  </si>
  <si>
    <t>Town Street</t>
  </si>
  <si>
    <t>Lowmoor Care Home</t>
  </si>
  <si>
    <t>Lowmoor Road</t>
  </si>
  <si>
    <t>Loxley Lodge Care Home</t>
  </si>
  <si>
    <t>School Street</t>
  </si>
  <si>
    <t>Magnolia House Care Home</t>
  </si>
  <si>
    <t>Chesterfield Road North</t>
  </si>
  <si>
    <t>Enablement Care (formally Manor House)</t>
  </si>
  <si>
    <t>Brook Street</t>
  </si>
  <si>
    <t>Manor Residential Home (Arnold)</t>
  </si>
  <si>
    <t>28 Church Street</t>
  </si>
  <si>
    <t>Mansfield Manor Care Home</t>
  </si>
  <si>
    <t>30-32 Chesterfield Road South</t>
  </si>
  <si>
    <t>Maun View Care Home</t>
  </si>
  <si>
    <t>261 Chesterfield Road South</t>
  </si>
  <si>
    <t>Meadow Lodge Care Home</t>
  </si>
  <si>
    <t>21-23 Meadow Road</t>
  </si>
  <si>
    <t>Millbank Care Home</t>
  </si>
  <si>
    <t>109 Millgate</t>
  </si>
  <si>
    <t>Millington Springs</t>
  </si>
  <si>
    <t>160 Portland Road Selston</t>
  </si>
  <si>
    <t>Moorlands Nursing Home (The)</t>
  </si>
  <si>
    <t>104 Church Lane</t>
  </si>
  <si>
    <t>Moriah House Care Home (pinders reviewed)</t>
  </si>
  <si>
    <t>Deep Furrow Avenue</t>
  </si>
  <si>
    <t>Newgate Lodge Care Home</t>
  </si>
  <si>
    <t>Newgate Lane</t>
  </si>
  <si>
    <t>Nightingale Care Home</t>
  </si>
  <si>
    <t>Fourth Avenue</t>
  </si>
  <si>
    <t>Nottingham Care Village</t>
  </si>
  <si>
    <t>Spring Lane</t>
  </si>
  <si>
    <t>Oaks Care Centre (The)</t>
  </si>
  <si>
    <t>172-174 London Road</t>
  </si>
  <si>
    <t>Old Vicarage Care Home (The)</t>
  </si>
  <si>
    <t>Newcastle Avenue</t>
  </si>
  <si>
    <t>Orchard House Care Home</t>
  </si>
  <si>
    <t>46 Easthorpe Street</t>
  </si>
  <si>
    <t>Parker House Care Home</t>
  </si>
  <si>
    <t>6 Albermarle Road</t>
  </si>
  <si>
    <t>Strawberry Fields (formerly Parklands/Red Firs)</t>
  </si>
  <si>
    <t>Strawberry Hall Lane</t>
  </si>
  <si>
    <t>Parkside Care Home</t>
  </si>
  <si>
    <t>Olive Grove, Pump Hollow Lane</t>
  </si>
  <si>
    <t>Queenswood Care Home</t>
  </si>
  <si>
    <t>Cliffgrove Avenue</t>
  </si>
  <si>
    <t>Radcliffe Manor House Care Home</t>
  </si>
  <si>
    <t>52 Main Road</t>
  </si>
  <si>
    <t>Red Roofs Care Home</t>
  </si>
  <si>
    <t>35A Grange Road</t>
  </si>
  <si>
    <t>Red Rose Care Home</t>
  </si>
  <si>
    <t>32 Brockton Avenue</t>
  </si>
  <si>
    <t>Richmand House Care Home</t>
  </si>
  <si>
    <t>90 Melton Road</t>
  </si>
  <si>
    <t>Rookery (The) Care Home</t>
  </si>
  <si>
    <t>130 Church Street</t>
  </si>
  <si>
    <t>Rivendell View  (NEW Ideal service)</t>
  </si>
  <si>
    <t>Magenta Way, Notts, NG14 5HH</t>
  </si>
  <si>
    <t>Willow Tree House</t>
  </si>
  <si>
    <t>3 Sutton Road</t>
  </si>
  <si>
    <t>Rose Farm Care Home</t>
  </si>
  <si>
    <t>Main Street</t>
  </si>
  <si>
    <t>Ruddington Manor Care Centre</t>
  </si>
  <si>
    <t>Ruddington Gardens, Wilford</t>
  </si>
  <si>
    <t>Rylands Care Home (The)</t>
  </si>
  <si>
    <t>9-11 Meadow Road</t>
  </si>
  <si>
    <t>Sherwood Grange Care Centre</t>
  </si>
  <si>
    <t>Sherwood House Care Home</t>
  </si>
  <si>
    <t>Shortwood House – Closed</t>
  </si>
  <si>
    <t>Beardall Street, Huckanll</t>
  </si>
  <si>
    <t>Silverwood Care Home</t>
  </si>
  <si>
    <t>Imperial Road</t>
  </si>
  <si>
    <t>South Collingham Hall Care Home</t>
  </si>
  <si>
    <t>Newark Road</t>
  </si>
  <si>
    <t>Southmoor Lodge Care Home</t>
  </si>
  <si>
    <t>Southmoor Road</t>
  </si>
  <si>
    <t xml:space="preserve">Southwell Court Care Home                     </t>
  </si>
  <si>
    <t>Racecourse Road</t>
  </si>
  <si>
    <t>Springwater Lodge Care Home</t>
  </si>
  <si>
    <t>10 Smithy View</t>
  </si>
  <si>
    <t xml:space="preserve">St Mary's Care Home                             </t>
  </si>
  <si>
    <t>St Peter's Care Home</t>
  </si>
  <si>
    <t>Vicarage Lane</t>
  </si>
  <si>
    <t>St Saviour's Care Home</t>
  </si>
  <si>
    <t>5 Lidget Lane</t>
  </si>
  <si>
    <t>Stoneyford Christian Nursing Home</t>
  </si>
  <si>
    <t>173 Stoneyford Road</t>
  </si>
  <si>
    <t>Sutton Court Care Home</t>
  </si>
  <si>
    <t>Priestic Road</t>
  </si>
  <si>
    <t>Sutton Lodge Care Home</t>
  </si>
  <si>
    <t>Sutton Manor Care Home</t>
  </si>
  <si>
    <t>Sycamore and Poplars Care Centre</t>
  </si>
  <si>
    <t>Troc Care Home (The)</t>
  </si>
  <si>
    <t>256 Beacon Hill Road</t>
  </si>
  <si>
    <t>Tudor Grange Care Centre</t>
  </si>
  <si>
    <t>54 Main Road</t>
  </si>
  <si>
    <t>Tuxford Manor Care Home</t>
  </si>
  <si>
    <t>143 Lincoln Road</t>
  </si>
  <si>
    <t>Victoria Care Home</t>
  </si>
  <si>
    <t>Memorial Avenue</t>
  </si>
  <si>
    <t>Westcliffe Care Home</t>
  </si>
  <si>
    <t>78 Shelford Road</t>
  </si>
  <si>
    <t>Westdale Care Home</t>
  </si>
  <si>
    <t>129 Melton Road</t>
  </si>
  <si>
    <t>Westvilla Care Home</t>
  </si>
  <si>
    <t>Westfield Road</t>
  </si>
  <si>
    <t>Westwolds Care Centre</t>
  </si>
  <si>
    <t>4 Park Avenue</t>
  </si>
  <si>
    <t>Westwood Care Home</t>
  </si>
  <si>
    <t>Talbot Road</t>
  </si>
  <si>
    <t>Willow Brook Care Home</t>
  </si>
  <si>
    <t>112 Burton Road</t>
  </si>
  <si>
    <t>Willowcroft Care Home</t>
  </si>
  <si>
    <t>New Street</t>
  </si>
  <si>
    <t xml:space="preserve">Woodlands           </t>
  </si>
  <si>
    <t>Spion Kop</t>
  </si>
  <si>
    <t>Woodleigh Christian Care Home</t>
  </si>
  <si>
    <t>Norfolk Drive</t>
  </si>
  <si>
    <t>Woodthorpe Manor Care Home</t>
  </si>
  <si>
    <t>1 Egerton Road</t>
  </si>
  <si>
    <t>Wren Hall Care Home</t>
  </si>
  <si>
    <t>234 Nottingham Road</t>
  </si>
  <si>
    <t>Residential Care</t>
  </si>
  <si>
    <t>Care Home Banding</t>
  </si>
  <si>
    <t>Residential Care including DQM Payment</t>
  </si>
  <si>
    <t>Nursing Care</t>
  </si>
  <si>
    <t>Nursing Care including DQM Payment</t>
  </si>
  <si>
    <t xml:space="preserve">Residential Care Fee </t>
  </si>
  <si>
    <r>
      <rPr>
        <b/>
        <sz val="11"/>
        <color theme="1"/>
        <rFont val="Calibri"/>
        <family val="2"/>
        <scheme val="minor"/>
      </rPr>
      <t>Note:</t>
    </r>
    <r>
      <rPr>
        <sz val="11"/>
        <color theme="1"/>
        <rFont val="Calibri"/>
        <family val="2"/>
        <scheme val="minor"/>
      </rPr>
      <t xml:space="preserve"> For </t>
    </r>
    <r>
      <rPr>
        <b/>
        <sz val="11"/>
        <color theme="1"/>
        <rFont val="Calibri"/>
        <family val="2"/>
        <scheme val="minor"/>
      </rPr>
      <t>interim beds</t>
    </r>
    <r>
      <rPr>
        <sz val="11"/>
        <color theme="1"/>
        <rFont val="Calibri"/>
        <family val="2"/>
        <scheme val="minor"/>
      </rPr>
      <t xml:space="preserve"> (used where Pathway 1 service is unavailable) the standard fee for Residential Care according to the home's Band will be used.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</si>
</sst>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£&quot;#,##0;[Red]\-&quot;£&quot;#,##0"/>
    <numFmt numFmtId="44" formatCode="_-&quot;£&quot;* #,##0.00_-;\-&quot;£&quot;* #,##0.00_-;_-&quot;£&quot;* &quot;-&quot;??_-;_-@_-"/>
    <numFmt numFmtId="164" formatCode="_-&quot;£&quot;* #,##0_-;\-&quot;£&quot;* #,##0_-;_-&quot;£&quot;* &quot;-&quot;??_-;_-@_-"/>
    <numFmt numFmtId="165" formatCode="&quot;£&quot;#,##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/>
    </xf>
    <xf numFmtId="6" fontId="5" fillId="0" borderId="1" xfId="0" applyNumberFormat="1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horizontal="center" vertical="center" wrapText="1"/>
    </xf>
    <xf numFmtId="164" fontId="0" fillId="0" borderId="0" xfId="1" applyNumberFormat="1" applyFont="1" applyBorder="1" applyAlignment="1">
      <alignment horizontal="center"/>
    </xf>
    <xf numFmtId="0" fontId="0" fillId="0" borderId="0" xfId="0" applyFont="1" applyBorder="1" applyAlignment="1">
      <alignment wrapText="1"/>
    </xf>
    <xf numFmtId="0" fontId="0" fillId="0" borderId="0" xfId="0" applyFont="1" applyBorder="1"/>
    <xf numFmtId="0" fontId="0" fillId="0" borderId="0" xfId="0" applyFont="1" applyFill="1" applyBorder="1"/>
    <xf numFmtId="0" fontId="4" fillId="0" borderId="1" xfId="0" applyFont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165" fontId="0" fillId="0" borderId="1" xfId="1" applyNumberFormat="1" applyFont="1" applyBorder="1" applyAlignment="1">
      <alignment horizontal="center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164" fontId="2" fillId="3" borderId="1" xfId="1" applyNumberFormat="1" applyFont="1" applyFill="1" applyBorder="1" applyAlignment="1">
      <alignment horizontal="center"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0E123-CD81-4FE4-8CDB-27AF4D4F7800}">
  <dimension ref="A1:F157"/>
  <sheetViews>
    <sheetView tabSelected="1" workbookViewId="0">
      <selection activeCell="F16" sqref="F16"/>
    </sheetView>
  </sheetViews>
  <sheetFormatPr defaultRowHeight="14.5" x14ac:dyDescent="0.35"/>
  <cols>
    <col min="1" max="1" width="33.6328125" style="9" customWidth="1"/>
    <col min="2" max="2" width="34.6328125" style="9" customWidth="1"/>
    <col min="3" max="3" width="13.36328125" style="10" customWidth="1"/>
    <col min="4" max="4" width="15.26953125" style="7" customWidth="1"/>
    <col min="5" max="5" width="8.7265625" style="9"/>
    <col min="6" max="6" width="67.6328125" style="9" customWidth="1"/>
    <col min="7" max="7" width="8.7265625" style="9"/>
    <col min="8" max="8" width="63.453125" style="9" customWidth="1"/>
    <col min="9" max="16384" width="8.7265625" style="9"/>
  </cols>
  <sheetData>
    <row r="1" spans="1:6" s="8" customFormat="1" ht="37.5" customHeight="1" x14ac:dyDescent="0.35">
      <c r="A1" s="14" t="s">
        <v>0</v>
      </c>
      <c r="B1" s="14" t="s">
        <v>1</v>
      </c>
      <c r="C1" s="15" t="s">
        <v>2</v>
      </c>
      <c r="D1" s="16" t="s">
        <v>311</v>
      </c>
      <c r="F1" s="8" t="s">
        <v>312</v>
      </c>
    </row>
    <row r="2" spans="1:6" x14ac:dyDescent="0.35">
      <c r="A2" s="11" t="s">
        <v>3</v>
      </c>
      <c r="B2" s="11" t="s">
        <v>4</v>
      </c>
      <c r="C2" s="12">
        <v>4</v>
      </c>
      <c r="D2" s="13">
        <f>VLOOKUP(C2,'Banding Fees'!A:B,2,FALSE)</f>
        <v>636</v>
      </c>
    </row>
    <row r="3" spans="1:6" x14ac:dyDescent="0.35">
      <c r="A3" s="11" t="s">
        <v>5</v>
      </c>
      <c r="B3" s="11" t="s">
        <v>6</v>
      </c>
      <c r="C3" s="12">
        <v>3</v>
      </c>
      <c r="D3" s="13">
        <f>VLOOKUP(C3,'Banding Fees'!A:B,2,FALSE)</f>
        <v>622</v>
      </c>
    </row>
    <row r="4" spans="1:6" x14ac:dyDescent="0.35">
      <c r="A4" s="11" t="s">
        <v>7</v>
      </c>
      <c r="B4" s="11" t="s">
        <v>8</v>
      </c>
      <c r="C4" s="12">
        <v>4</v>
      </c>
      <c r="D4" s="13">
        <f>VLOOKUP(C4,'Banding Fees'!A:B,2,FALSE)</f>
        <v>636</v>
      </c>
    </row>
    <row r="5" spans="1:6" x14ac:dyDescent="0.35">
      <c r="A5" s="11" t="s">
        <v>9</v>
      </c>
      <c r="B5" s="11" t="s">
        <v>10</v>
      </c>
      <c r="C5" s="12">
        <v>4</v>
      </c>
      <c r="D5" s="13">
        <f>VLOOKUP(C5,'Banding Fees'!A:B,2,FALSE)</f>
        <v>636</v>
      </c>
    </row>
    <row r="6" spans="1:6" x14ac:dyDescent="0.35">
      <c r="A6" s="11" t="s">
        <v>11</v>
      </c>
      <c r="B6" s="11" t="s">
        <v>12</v>
      </c>
      <c r="C6" s="12">
        <v>5</v>
      </c>
      <c r="D6" s="13">
        <f>VLOOKUP(C6,'Banding Fees'!A:B,2,FALSE)</f>
        <v>655</v>
      </c>
    </row>
    <row r="7" spans="1:6" x14ac:dyDescent="0.35">
      <c r="A7" s="11" t="s">
        <v>13</v>
      </c>
      <c r="B7" s="11" t="s">
        <v>14</v>
      </c>
      <c r="C7" s="12">
        <v>4</v>
      </c>
      <c r="D7" s="13">
        <f>VLOOKUP(C7,'Banding Fees'!A:B,2,FALSE)</f>
        <v>636</v>
      </c>
    </row>
    <row r="8" spans="1:6" x14ac:dyDescent="0.35">
      <c r="A8" s="11" t="s">
        <v>15</v>
      </c>
      <c r="B8" s="11" t="s">
        <v>16</v>
      </c>
      <c r="C8" s="12">
        <v>1</v>
      </c>
      <c r="D8" s="13">
        <f>VLOOKUP(C8,'Banding Fees'!A:B,2,FALSE)</f>
        <v>527</v>
      </c>
    </row>
    <row r="9" spans="1:6" x14ac:dyDescent="0.35">
      <c r="A9" s="11" t="s">
        <v>17</v>
      </c>
      <c r="B9" s="11" t="s">
        <v>18</v>
      </c>
      <c r="C9" s="12">
        <v>3</v>
      </c>
      <c r="D9" s="13">
        <f>VLOOKUP(C9,'Banding Fees'!A:B,2,FALSE)</f>
        <v>622</v>
      </c>
    </row>
    <row r="10" spans="1:6" x14ac:dyDescent="0.35">
      <c r="A10" s="11" t="s">
        <v>19</v>
      </c>
      <c r="B10" s="11" t="s">
        <v>20</v>
      </c>
      <c r="C10" s="12">
        <v>3</v>
      </c>
      <c r="D10" s="13">
        <f>VLOOKUP(C10,'Banding Fees'!A:B,2,FALSE)</f>
        <v>622</v>
      </c>
    </row>
    <row r="11" spans="1:6" x14ac:dyDescent="0.35">
      <c r="A11" s="11" t="s">
        <v>21</v>
      </c>
      <c r="B11" s="11" t="s">
        <v>22</v>
      </c>
      <c r="C11" s="12">
        <v>5</v>
      </c>
      <c r="D11" s="13">
        <f>VLOOKUP(C11,'Banding Fees'!A:B,2,FALSE)</f>
        <v>655</v>
      </c>
    </row>
    <row r="12" spans="1:6" x14ac:dyDescent="0.35">
      <c r="A12" s="11" t="s">
        <v>23</v>
      </c>
      <c r="B12" s="11" t="s">
        <v>24</v>
      </c>
      <c r="C12" s="12">
        <v>4</v>
      </c>
      <c r="D12" s="13">
        <f>VLOOKUP(C12,'Banding Fees'!A:B,2,FALSE)</f>
        <v>636</v>
      </c>
    </row>
    <row r="13" spans="1:6" x14ac:dyDescent="0.35">
      <c r="A13" s="11" t="s">
        <v>25</v>
      </c>
      <c r="B13" s="11" t="s">
        <v>26</v>
      </c>
      <c r="C13" s="12">
        <v>4</v>
      </c>
      <c r="D13" s="13">
        <f>VLOOKUP(C13,'Banding Fees'!A:B,2,FALSE)</f>
        <v>636</v>
      </c>
    </row>
    <row r="14" spans="1:6" x14ac:dyDescent="0.35">
      <c r="A14" s="11" t="s">
        <v>27</v>
      </c>
      <c r="B14" s="11" t="s">
        <v>28</v>
      </c>
      <c r="C14" s="12">
        <v>3</v>
      </c>
      <c r="D14" s="13">
        <f>VLOOKUP(C14,'Banding Fees'!A:B,2,FALSE)</f>
        <v>622</v>
      </c>
    </row>
    <row r="15" spans="1:6" x14ac:dyDescent="0.35">
      <c r="A15" s="11" t="s">
        <v>29</v>
      </c>
      <c r="B15" s="11" t="s">
        <v>30</v>
      </c>
      <c r="C15" s="12">
        <v>5</v>
      </c>
      <c r="D15" s="13">
        <f>VLOOKUP(C15,'Banding Fees'!A:B,2,FALSE)</f>
        <v>655</v>
      </c>
    </row>
    <row r="16" spans="1:6" x14ac:dyDescent="0.35">
      <c r="A16" s="11" t="s">
        <v>31</v>
      </c>
      <c r="B16" s="11" t="s">
        <v>32</v>
      </c>
      <c r="C16" s="12">
        <v>3</v>
      </c>
      <c r="D16" s="13">
        <f>VLOOKUP(C16,'Banding Fees'!A:B,2,FALSE)</f>
        <v>622</v>
      </c>
    </row>
    <row r="17" spans="1:4" x14ac:dyDescent="0.35">
      <c r="A17" s="11" t="s">
        <v>88</v>
      </c>
      <c r="B17" s="11" t="s">
        <v>33</v>
      </c>
      <c r="C17" s="12">
        <v>4</v>
      </c>
      <c r="D17" s="13">
        <f>VLOOKUP(C17,'Banding Fees'!A:B,2,FALSE)</f>
        <v>636</v>
      </c>
    </row>
    <row r="18" spans="1:4" x14ac:dyDescent="0.35">
      <c r="A18" s="11" t="s">
        <v>87</v>
      </c>
      <c r="B18" s="11" t="s">
        <v>34</v>
      </c>
      <c r="C18" s="12">
        <v>3</v>
      </c>
      <c r="D18" s="13">
        <f>VLOOKUP(C18,'Banding Fees'!A:B,2,FALSE)</f>
        <v>622</v>
      </c>
    </row>
    <row r="19" spans="1:4" x14ac:dyDescent="0.35">
      <c r="A19" s="11" t="s">
        <v>35</v>
      </c>
      <c r="B19" s="11" t="s">
        <v>36</v>
      </c>
      <c r="C19" s="12">
        <v>5</v>
      </c>
      <c r="D19" s="13">
        <f>VLOOKUP(C19,'Banding Fees'!A:B,2,FALSE)</f>
        <v>655</v>
      </c>
    </row>
    <row r="20" spans="1:4" x14ac:dyDescent="0.35">
      <c r="A20" s="11" t="s">
        <v>37</v>
      </c>
      <c r="B20" s="11" t="s">
        <v>38</v>
      </c>
      <c r="C20" s="12">
        <v>4</v>
      </c>
      <c r="D20" s="13">
        <f>VLOOKUP(C20,'Banding Fees'!A:B,2,FALSE)</f>
        <v>636</v>
      </c>
    </row>
    <row r="21" spans="1:4" x14ac:dyDescent="0.35">
      <c r="A21" s="11" t="s">
        <v>39</v>
      </c>
      <c r="B21" s="11" t="s">
        <v>40</v>
      </c>
      <c r="C21" s="12">
        <v>4</v>
      </c>
      <c r="D21" s="13">
        <f>VLOOKUP(C21,'Banding Fees'!A:B,2,FALSE)</f>
        <v>636</v>
      </c>
    </row>
    <row r="22" spans="1:4" x14ac:dyDescent="0.35">
      <c r="A22" s="11" t="s">
        <v>41</v>
      </c>
      <c r="B22" s="11" t="s">
        <v>42</v>
      </c>
      <c r="C22" s="12">
        <v>4</v>
      </c>
      <c r="D22" s="13">
        <f>VLOOKUP(C22,'Banding Fees'!A:B,2,FALSE)</f>
        <v>636</v>
      </c>
    </row>
    <row r="23" spans="1:4" x14ac:dyDescent="0.35">
      <c r="A23" s="11" t="s">
        <v>43</v>
      </c>
      <c r="B23" s="11" t="s">
        <v>44</v>
      </c>
      <c r="C23" s="12">
        <v>5</v>
      </c>
      <c r="D23" s="13">
        <f>VLOOKUP(C23,'Banding Fees'!A:B,2,FALSE)</f>
        <v>655</v>
      </c>
    </row>
    <row r="24" spans="1:4" x14ac:dyDescent="0.35">
      <c r="A24" s="11" t="s">
        <v>45</v>
      </c>
      <c r="B24" s="11" t="s">
        <v>46</v>
      </c>
      <c r="C24" s="12">
        <v>3</v>
      </c>
      <c r="D24" s="13">
        <f>VLOOKUP(C24,'Banding Fees'!A:B,2,FALSE)</f>
        <v>622</v>
      </c>
    </row>
    <row r="25" spans="1:4" x14ac:dyDescent="0.35">
      <c r="A25" s="11" t="s">
        <v>47</v>
      </c>
      <c r="B25" s="11" t="s">
        <v>48</v>
      </c>
      <c r="C25" s="12">
        <v>5</v>
      </c>
      <c r="D25" s="13">
        <f>VLOOKUP(C25,'Banding Fees'!A:B,2,FALSE)</f>
        <v>655</v>
      </c>
    </row>
    <row r="26" spans="1:4" x14ac:dyDescent="0.35">
      <c r="A26" s="11" t="s">
        <v>49</v>
      </c>
      <c r="B26" s="11" t="s">
        <v>50</v>
      </c>
      <c r="C26" s="12">
        <v>2</v>
      </c>
      <c r="D26" s="13">
        <f>VLOOKUP(C26,'Banding Fees'!A:B,2,FALSE)</f>
        <v>585</v>
      </c>
    </row>
    <row r="27" spans="1:4" x14ac:dyDescent="0.35">
      <c r="A27" s="11" t="s">
        <v>51</v>
      </c>
      <c r="B27" s="11" t="s">
        <v>52</v>
      </c>
      <c r="C27" s="12">
        <v>3</v>
      </c>
      <c r="D27" s="13">
        <f>VLOOKUP(C27,'Banding Fees'!A:B,2,FALSE)</f>
        <v>622</v>
      </c>
    </row>
    <row r="28" spans="1:4" x14ac:dyDescent="0.35">
      <c r="A28" s="11" t="s">
        <v>53</v>
      </c>
      <c r="B28" s="11" t="s">
        <v>54</v>
      </c>
      <c r="C28" s="12">
        <v>5</v>
      </c>
      <c r="D28" s="13">
        <f>VLOOKUP(C28,'Banding Fees'!A:B,2,FALSE)</f>
        <v>655</v>
      </c>
    </row>
    <row r="29" spans="1:4" x14ac:dyDescent="0.35">
      <c r="A29" s="11" t="s">
        <v>55</v>
      </c>
      <c r="B29" s="11" t="s">
        <v>56</v>
      </c>
      <c r="C29" s="12">
        <v>4</v>
      </c>
      <c r="D29" s="13">
        <f>VLOOKUP(C29,'Banding Fees'!A:B,2,FALSE)</f>
        <v>636</v>
      </c>
    </row>
    <row r="30" spans="1:4" x14ac:dyDescent="0.35">
      <c r="A30" s="11" t="s">
        <v>57</v>
      </c>
      <c r="B30" s="11" t="s">
        <v>58</v>
      </c>
      <c r="C30" s="12">
        <v>2</v>
      </c>
      <c r="D30" s="13">
        <f>VLOOKUP(C30,'Banding Fees'!A:B,2,FALSE)</f>
        <v>585</v>
      </c>
    </row>
    <row r="31" spans="1:4" x14ac:dyDescent="0.35">
      <c r="A31" s="11" t="s">
        <v>59</v>
      </c>
      <c r="B31" s="11" t="s">
        <v>60</v>
      </c>
      <c r="C31" s="12">
        <v>4</v>
      </c>
      <c r="D31" s="13">
        <f>VLOOKUP(C31,'Banding Fees'!A:B,2,FALSE)</f>
        <v>636</v>
      </c>
    </row>
    <row r="32" spans="1:4" x14ac:dyDescent="0.35">
      <c r="A32" s="11" t="s">
        <v>61</v>
      </c>
      <c r="B32" s="11" t="s">
        <v>62</v>
      </c>
      <c r="C32" s="12">
        <v>5</v>
      </c>
      <c r="D32" s="13">
        <f>VLOOKUP(C32,'Banding Fees'!A:B,2,FALSE)</f>
        <v>655</v>
      </c>
    </row>
    <row r="33" spans="1:4" x14ac:dyDescent="0.35">
      <c r="A33" s="11" t="s">
        <v>63</v>
      </c>
      <c r="B33" s="11" t="s">
        <v>64</v>
      </c>
      <c r="C33" s="12">
        <v>1</v>
      </c>
      <c r="D33" s="13">
        <f>VLOOKUP(C33,'Banding Fees'!A:B,2,FALSE)</f>
        <v>527</v>
      </c>
    </row>
    <row r="34" spans="1:4" x14ac:dyDescent="0.35">
      <c r="A34" s="11" t="s">
        <v>65</v>
      </c>
      <c r="B34" s="11" t="s">
        <v>66</v>
      </c>
      <c r="C34" s="12">
        <v>3</v>
      </c>
      <c r="D34" s="13">
        <f>VLOOKUP(C34,'Banding Fees'!A:B,2,FALSE)</f>
        <v>622</v>
      </c>
    </row>
    <row r="35" spans="1:4" x14ac:dyDescent="0.35">
      <c r="A35" s="11" t="s">
        <v>67</v>
      </c>
      <c r="B35" s="11" t="s">
        <v>68</v>
      </c>
      <c r="C35" s="12">
        <v>5</v>
      </c>
      <c r="D35" s="13">
        <f>VLOOKUP(C35,'Banding Fees'!A:B,2,FALSE)</f>
        <v>655</v>
      </c>
    </row>
    <row r="36" spans="1:4" x14ac:dyDescent="0.35">
      <c r="A36" s="11" t="s">
        <v>69</v>
      </c>
      <c r="B36" s="11" t="s">
        <v>70</v>
      </c>
      <c r="C36" s="12">
        <v>5</v>
      </c>
      <c r="D36" s="13">
        <f>VLOOKUP(C36,'Banding Fees'!A:B,2,FALSE)</f>
        <v>655</v>
      </c>
    </row>
    <row r="37" spans="1:4" x14ac:dyDescent="0.35">
      <c r="A37" s="11" t="s">
        <v>71</v>
      </c>
      <c r="B37" s="11" t="s">
        <v>72</v>
      </c>
      <c r="C37" s="12">
        <v>4</v>
      </c>
      <c r="D37" s="13">
        <f>VLOOKUP(C37,'Banding Fees'!A:B,2,FALSE)</f>
        <v>636</v>
      </c>
    </row>
    <row r="38" spans="1:4" x14ac:dyDescent="0.35">
      <c r="A38" s="11" t="s">
        <v>73</v>
      </c>
      <c r="B38" s="11" t="s">
        <v>74</v>
      </c>
      <c r="C38" s="12">
        <v>4</v>
      </c>
      <c r="D38" s="13">
        <f>VLOOKUP(C38,'Banding Fees'!A:B,2,FALSE)</f>
        <v>636</v>
      </c>
    </row>
    <row r="39" spans="1:4" x14ac:dyDescent="0.35">
      <c r="A39" s="11" t="s">
        <v>75</v>
      </c>
      <c r="B39" s="11" t="s">
        <v>76</v>
      </c>
      <c r="C39" s="12">
        <v>3</v>
      </c>
      <c r="D39" s="13">
        <f>VLOOKUP(C39,'Banding Fees'!A:B,2,FALSE)</f>
        <v>622</v>
      </c>
    </row>
    <row r="40" spans="1:4" x14ac:dyDescent="0.35">
      <c r="A40" s="11" t="s">
        <v>77</v>
      </c>
      <c r="B40" s="11" t="s">
        <v>78</v>
      </c>
      <c r="C40" s="12">
        <v>5</v>
      </c>
      <c r="D40" s="13">
        <f>VLOOKUP(C40,'Banding Fees'!A:B,2,FALSE)</f>
        <v>655</v>
      </c>
    </row>
    <row r="41" spans="1:4" x14ac:dyDescent="0.35">
      <c r="A41" s="11" t="s">
        <v>79</v>
      </c>
      <c r="B41" s="11" t="s">
        <v>80</v>
      </c>
      <c r="C41" s="12">
        <v>5</v>
      </c>
      <c r="D41" s="13">
        <f>VLOOKUP(C41,'Banding Fees'!A:B,2,FALSE)</f>
        <v>655</v>
      </c>
    </row>
    <row r="42" spans="1:4" x14ac:dyDescent="0.35">
      <c r="A42" s="11" t="s">
        <v>81</v>
      </c>
      <c r="B42" s="11" t="s">
        <v>82</v>
      </c>
      <c r="C42" s="12">
        <v>4</v>
      </c>
      <c r="D42" s="13">
        <f>VLOOKUP(C42,'Banding Fees'!A:B,2,FALSE)</f>
        <v>636</v>
      </c>
    </row>
    <row r="43" spans="1:4" x14ac:dyDescent="0.35">
      <c r="A43" s="11" t="s">
        <v>83</v>
      </c>
      <c r="B43" s="11" t="s">
        <v>84</v>
      </c>
      <c r="C43" s="12">
        <v>2</v>
      </c>
      <c r="D43" s="13">
        <f>VLOOKUP(C43,'Banding Fees'!A:B,2,FALSE)</f>
        <v>585</v>
      </c>
    </row>
    <row r="44" spans="1:4" x14ac:dyDescent="0.35">
      <c r="A44" s="11" t="s">
        <v>85</v>
      </c>
      <c r="B44" s="11" t="s">
        <v>86</v>
      </c>
      <c r="C44" s="12">
        <v>2</v>
      </c>
      <c r="D44" s="13">
        <f>VLOOKUP(C44,'Banding Fees'!A:B,2,FALSE)</f>
        <v>585</v>
      </c>
    </row>
    <row r="45" spans="1:4" x14ac:dyDescent="0.35">
      <c r="A45" s="11" t="s">
        <v>89</v>
      </c>
      <c r="B45" s="11" t="s">
        <v>90</v>
      </c>
      <c r="C45" s="12">
        <v>5</v>
      </c>
      <c r="D45" s="13">
        <f>VLOOKUP(C45,'Banding Fees'!A:B,2,FALSE)</f>
        <v>655</v>
      </c>
    </row>
    <row r="46" spans="1:4" x14ac:dyDescent="0.35">
      <c r="A46" s="11" t="s">
        <v>91</v>
      </c>
      <c r="B46" s="11" t="s">
        <v>92</v>
      </c>
      <c r="C46" s="12">
        <v>5</v>
      </c>
      <c r="D46" s="13">
        <f>VLOOKUP(C46,'Banding Fees'!A:B,2,FALSE)</f>
        <v>655</v>
      </c>
    </row>
    <row r="47" spans="1:4" x14ac:dyDescent="0.35">
      <c r="A47" s="11" t="s">
        <v>93</v>
      </c>
      <c r="B47" s="11" t="s">
        <v>6</v>
      </c>
      <c r="C47" s="12">
        <v>5</v>
      </c>
      <c r="D47" s="13">
        <f>VLOOKUP(C47,'Banding Fees'!A:B,2,FALSE)</f>
        <v>655</v>
      </c>
    </row>
    <row r="48" spans="1:4" x14ac:dyDescent="0.35">
      <c r="A48" s="11" t="s">
        <v>94</v>
      </c>
      <c r="B48" s="11" t="s">
        <v>95</v>
      </c>
      <c r="C48" s="12">
        <v>5</v>
      </c>
      <c r="D48" s="13">
        <f>VLOOKUP(C48,'Banding Fees'!A:B,2,FALSE)</f>
        <v>655</v>
      </c>
    </row>
    <row r="49" spans="1:4" x14ac:dyDescent="0.35">
      <c r="A49" s="11" t="s">
        <v>96</v>
      </c>
      <c r="B49" s="11" t="s">
        <v>97</v>
      </c>
      <c r="C49" s="12">
        <v>1</v>
      </c>
      <c r="D49" s="13">
        <f>VLOOKUP(C49,'Banding Fees'!A:B,2,FALSE)</f>
        <v>527</v>
      </c>
    </row>
    <row r="50" spans="1:4" x14ac:dyDescent="0.35">
      <c r="A50" s="11" t="s">
        <v>98</v>
      </c>
      <c r="B50" s="11" t="s">
        <v>99</v>
      </c>
      <c r="C50" s="12">
        <v>4</v>
      </c>
      <c r="D50" s="13">
        <f>VLOOKUP(C50,'Banding Fees'!A:B,2,FALSE)</f>
        <v>636</v>
      </c>
    </row>
    <row r="51" spans="1:4" x14ac:dyDescent="0.35">
      <c r="A51" s="11" t="s">
        <v>100</v>
      </c>
      <c r="B51" s="11" t="s">
        <v>101</v>
      </c>
      <c r="C51" s="12">
        <v>0</v>
      </c>
      <c r="D51" s="13" t="e">
        <f>VLOOKUP(C51,'Banding Fees'!A:B,2,FALSE)</f>
        <v>#N/A</v>
      </c>
    </row>
    <row r="52" spans="1:4" x14ac:dyDescent="0.35">
      <c r="A52" s="11" t="s">
        <v>102</v>
      </c>
      <c r="B52" s="11" t="s">
        <v>103</v>
      </c>
      <c r="C52" s="12">
        <v>2</v>
      </c>
      <c r="D52" s="13">
        <f>VLOOKUP(C52,'Banding Fees'!A:B,2,FALSE)</f>
        <v>585</v>
      </c>
    </row>
    <row r="53" spans="1:4" x14ac:dyDescent="0.35">
      <c r="A53" s="11" t="s">
        <v>104</v>
      </c>
      <c r="B53" s="11" t="s">
        <v>105</v>
      </c>
      <c r="C53" s="12">
        <v>5</v>
      </c>
      <c r="D53" s="13">
        <f>VLOOKUP(C53,'Banding Fees'!A:B,2,FALSE)</f>
        <v>655</v>
      </c>
    </row>
    <row r="54" spans="1:4" x14ac:dyDescent="0.35">
      <c r="A54" s="11" t="s">
        <v>106</v>
      </c>
      <c r="B54" s="11" t="s">
        <v>107</v>
      </c>
      <c r="C54" s="12">
        <v>5</v>
      </c>
      <c r="D54" s="13">
        <f>VLOOKUP(C54,'Banding Fees'!A:B,2,FALSE)</f>
        <v>655</v>
      </c>
    </row>
    <row r="55" spans="1:4" x14ac:dyDescent="0.35">
      <c r="A55" s="11" t="s">
        <v>108</v>
      </c>
      <c r="B55" s="11" t="s">
        <v>109</v>
      </c>
      <c r="C55" s="12">
        <v>2</v>
      </c>
      <c r="D55" s="13">
        <f>VLOOKUP(C55,'Banding Fees'!A:B,2,FALSE)</f>
        <v>585</v>
      </c>
    </row>
    <row r="56" spans="1:4" x14ac:dyDescent="0.35">
      <c r="A56" s="11" t="s">
        <v>110</v>
      </c>
      <c r="B56" s="11" t="s">
        <v>111</v>
      </c>
      <c r="C56" s="12">
        <v>3</v>
      </c>
      <c r="D56" s="13">
        <f>VLOOKUP(C56,'Banding Fees'!A:B,2,FALSE)</f>
        <v>622</v>
      </c>
    </row>
    <row r="57" spans="1:4" x14ac:dyDescent="0.35">
      <c r="A57" s="11" t="s">
        <v>112</v>
      </c>
      <c r="B57" s="11" t="s">
        <v>113</v>
      </c>
      <c r="C57" s="12">
        <v>5</v>
      </c>
      <c r="D57" s="13">
        <f>VLOOKUP(C57,'Banding Fees'!A:B,2,FALSE)</f>
        <v>655</v>
      </c>
    </row>
    <row r="58" spans="1:4" x14ac:dyDescent="0.35">
      <c r="A58" s="11" t="s">
        <v>114</v>
      </c>
      <c r="B58" s="11" t="s">
        <v>115</v>
      </c>
      <c r="C58" s="12">
        <v>4</v>
      </c>
      <c r="D58" s="13">
        <f>VLOOKUP(C58,'Banding Fees'!A:B,2,FALSE)</f>
        <v>636</v>
      </c>
    </row>
    <row r="59" spans="1:4" x14ac:dyDescent="0.35">
      <c r="A59" s="11" t="s">
        <v>116</v>
      </c>
      <c r="B59" s="11" t="s">
        <v>117</v>
      </c>
      <c r="C59" s="12">
        <v>3</v>
      </c>
      <c r="D59" s="13">
        <f>VLOOKUP(C59,'Banding Fees'!A:B,2,FALSE)</f>
        <v>622</v>
      </c>
    </row>
    <row r="60" spans="1:4" x14ac:dyDescent="0.35">
      <c r="A60" s="11" t="s">
        <v>118</v>
      </c>
      <c r="B60" s="11" t="s">
        <v>119</v>
      </c>
      <c r="C60" s="12">
        <v>5</v>
      </c>
      <c r="D60" s="13">
        <f>VLOOKUP(C60,'Banding Fees'!A:B,2,FALSE)</f>
        <v>655</v>
      </c>
    </row>
    <row r="61" spans="1:4" x14ac:dyDescent="0.35">
      <c r="A61" s="11" t="s">
        <v>120</v>
      </c>
      <c r="B61" s="11" t="s">
        <v>121</v>
      </c>
      <c r="C61" s="12">
        <v>2</v>
      </c>
      <c r="D61" s="13">
        <f>VLOOKUP(C61,'Banding Fees'!A:B,2,FALSE)</f>
        <v>585</v>
      </c>
    </row>
    <row r="62" spans="1:4" x14ac:dyDescent="0.35">
      <c r="A62" s="11" t="s">
        <v>122</v>
      </c>
      <c r="B62" s="11" t="s">
        <v>123</v>
      </c>
      <c r="C62" s="12">
        <v>5</v>
      </c>
      <c r="D62" s="13">
        <f>VLOOKUP(C62,'Banding Fees'!A:B,2,FALSE)</f>
        <v>655</v>
      </c>
    </row>
    <row r="63" spans="1:4" x14ac:dyDescent="0.35">
      <c r="A63" s="11" t="s">
        <v>124</v>
      </c>
      <c r="B63" s="11" t="s">
        <v>125</v>
      </c>
      <c r="C63" s="12">
        <v>4</v>
      </c>
      <c r="D63" s="13">
        <f>VLOOKUP(C63,'Banding Fees'!A:B,2,FALSE)</f>
        <v>636</v>
      </c>
    </row>
    <row r="64" spans="1:4" x14ac:dyDescent="0.35">
      <c r="A64" s="11" t="s">
        <v>126</v>
      </c>
      <c r="B64" s="11" t="s">
        <v>127</v>
      </c>
      <c r="C64" s="12">
        <v>5</v>
      </c>
      <c r="D64" s="13">
        <f>VLOOKUP(C64,'Banding Fees'!A:B,2,FALSE)</f>
        <v>655</v>
      </c>
    </row>
    <row r="65" spans="1:4" x14ac:dyDescent="0.35">
      <c r="A65" s="11" t="s">
        <v>128</v>
      </c>
      <c r="B65" s="11" t="s">
        <v>129</v>
      </c>
      <c r="C65" s="12">
        <v>5</v>
      </c>
      <c r="D65" s="13">
        <f>VLOOKUP(C65,'Banding Fees'!A:B,2,FALSE)</f>
        <v>655</v>
      </c>
    </row>
    <row r="66" spans="1:4" x14ac:dyDescent="0.35">
      <c r="A66" s="11" t="s">
        <v>130</v>
      </c>
      <c r="B66" s="11" t="s">
        <v>131</v>
      </c>
      <c r="C66" s="12">
        <v>4</v>
      </c>
      <c r="D66" s="13">
        <f>VLOOKUP(C66,'Banding Fees'!A:B,2,FALSE)</f>
        <v>636</v>
      </c>
    </row>
    <row r="67" spans="1:4" x14ac:dyDescent="0.35">
      <c r="A67" s="11" t="s">
        <v>132</v>
      </c>
      <c r="B67" s="11"/>
      <c r="C67" s="12">
        <v>5</v>
      </c>
      <c r="D67" s="13">
        <f>VLOOKUP(C67,'Banding Fees'!A:B,2,FALSE)</f>
        <v>655</v>
      </c>
    </row>
    <row r="68" spans="1:4" x14ac:dyDescent="0.35">
      <c r="A68" s="11" t="s">
        <v>133</v>
      </c>
      <c r="B68" s="11" t="s">
        <v>134</v>
      </c>
      <c r="C68" s="12">
        <v>1</v>
      </c>
      <c r="D68" s="13">
        <f>VLOOKUP(C68,'Banding Fees'!A:B,2,FALSE)</f>
        <v>527</v>
      </c>
    </row>
    <row r="69" spans="1:4" x14ac:dyDescent="0.35">
      <c r="A69" s="11" t="s">
        <v>135</v>
      </c>
      <c r="B69" s="11" t="s">
        <v>136</v>
      </c>
      <c r="C69" s="12">
        <v>5</v>
      </c>
      <c r="D69" s="13">
        <f>VLOOKUP(C69,'Banding Fees'!A:B,2,FALSE)</f>
        <v>655</v>
      </c>
    </row>
    <row r="70" spans="1:4" x14ac:dyDescent="0.35">
      <c r="A70" s="11" t="s">
        <v>137</v>
      </c>
      <c r="B70" s="11" t="s">
        <v>138</v>
      </c>
      <c r="C70" s="12">
        <v>3</v>
      </c>
      <c r="D70" s="13">
        <f>VLOOKUP(C70,'Banding Fees'!A:B,2,FALSE)</f>
        <v>622</v>
      </c>
    </row>
    <row r="71" spans="1:4" x14ac:dyDescent="0.35">
      <c r="A71" s="11" t="s">
        <v>139</v>
      </c>
      <c r="B71" s="11" t="s">
        <v>140</v>
      </c>
      <c r="C71" s="12">
        <v>4</v>
      </c>
      <c r="D71" s="13">
        <f>VLOOKUP(C71,'Banding Fees'!A:B,2,FALSE)</f>
        <v>636</v>
      </c>
    </row>
    <row r="72" spans="1:4" x14ac:dyDescent="0.35">
      <c r="A72" s="11" t="s">
        <v>141</v>
      </c>
      <c r="B72" s="11" t="s">
        <v>142</v>
      </c>
      <c r="C72" s="12">
        <v>2</v>
      </c>
      <c r="D72" s="13">
        <f>VLOOKUP(C72,'Banding Fees'!A:B,2,FALSE)</f>
        <v>585</v>
      </c>
    </row>
    <row r="73" spans="1:4" x14ac:dyDescent="0.35">
      <c r="A73" s="11" t="s">
        <v>143</v>
      </c>
      <c r="B73" s="11" t="s">
        <v>144</v>
      </c>
      <c r="C73" s="12">
        <v>4</v>
      </c>
      <c r="D73" s="13">
        <f>VLOOKUP(C73,'Banding Fees'!A:B,2,FALSE)</f>
        <v>636</v>
      </c>
    </row>
    <row r="74" spans="1:4" x14ac:dyDescent="0.35">
      <c r="A74" s="11" t="s">
        <v>145</v>
      </c>
      <c r="B74" s="11" t="s">
        <v>146</v>
      </c>
      <c r="C74" s="12">
        <v>5</v>
      </c>
      <c r="D74" s="13">
        <f>VLOOKUP(C74,'Banding Fees'!A:B,2,FALSE)</f>
        <v>655</v>
      </c>
    </row>
    <row r="75" spans="1:4" x14ac:dyDescent="0.35">
      <c r="A75" s="11" t="s">
        <v>147</v>
      </c>
      <c r="B75" s="11" t="s">
        <v>148</v>
      </c>
      <c r="C75" s="12">
        <v>4</v>
      </c>
      <c r="D75" s="13">
        <f>VLOOKUP(C75,'Banding Fees'!A:B,2,FALSE)</f>
        <v>636</v>
      </c>
    </row>
    <row r="76" spans="1:4" x14ac:dyDescent="0.35">
      <c r="A76" s="11" t="s">
        <v>149</v>
      </c>
      <c r="B76" s="11" t="s">
        <v>150</v>
      </c>
      <c r="C76" s="12">
        <v>4</v>
      </c>
      <c r="D76" s="13">
        <f>VLOOKUP(C76,'Banding Fees'!A:B,2,FALSE)</f>
        <v>636</v>
      </c>
    </row>
    <row r="77" spans="1:4" x14ac:dyDescent="0.35">
      <c r="A77" s="11" t="s">
        <v>151</v>
      </c>
      <c r="B77" s="11" t="s">
        <v>152</v>
      </c>
      <c r="C77" s="12">
        <v>5</v>
      </c>
      <c r="D77" s="13">
        <f>VLOOKUP(C77,'Banding Fees'!A:B,2,FALSE)</f>
        <v>655</v>
      </c>
    </row>
    <row r="78" spans="1:4" x14ac:dyDescent="0.35">
      <c r="A78" s="11" t="s">
        <v>153</v>
      </c>
      <c r="B78" s="11" t="s">
        <v>154</v>
      </c>
      <c r="C78" s="12">
        <v>2</v>
      </c>
      <c r="D78" s="13">
        <f>VLOOKUP(C78,'Banding Fees'!A:B,2,FALSE)</f>
        <v>585</v>
      </c>
    </row>
    <row r="79" spans="1:4" x14ac:dyDescent="0.35">
      <c r="A79" s="11" t="s">
        <v>155</v>
      </c>
      <c r="B79" s="11" t="s">
        <v>156</v>
      </c>
      <c r="C79" s="12">
        <v>2</v>
      </c>
      <c r="D79" s="13">
        <f>VLOOKUP(C79,'Banding Fees'!A:B,2,FALSE)</f>
        <v>585</v>
      </c>
    </row>
    <row r="80" spans="1:4" x14ac:dyDescent="0.35">
      <c r="A80" s="11" t="s">
        <v>157</v>
      </c>
      <c r="B80" s="11" t="s">
        <v>158</v>
      </c>
      <c r="C80" s="12">
        <v>2</v>
      </c>
      <c r="D80" s="13">
        <f>VLOOKUP(C80,'Banding Fees'!A:B,2,FALSE)</f>
        <v>585</v>
      </c>
    </row>
    <row r="81" spans="1:4" x14ac:dyDescent="0.35">
      <c r="A81" s="11" t="s">
        <v>159</v>
      </c>
      <c r="B81" s="11" t="s">
        <v>160</v>
      </c>
      <c r="C81" s="12">
        <v>5</v>
      </c>
      <c r="D81" s="13">
        <f>VLOOKUP(C81,'Banding Fees'!A:B,2,FALSE)</f>
        <v>655</v>
      </c>
    </row>
    <row r="82" spans="1:4" x14ac:dyDescent="0.35">
      <c r="A82" s="11" t="s">
        <v>161</v>
      </c>
      <c r="B82" s="11" t="s">
        <v>162</v>
      </c>
      <c r="C82" s="12">
        <v>5</v>
      </c>
      <c r="D82" s="13">
        <f>VLOOKUP(C82,'Banding Fees'!A:B,2,FALSE)</f>
        <v>655</v>
      </c>
    </row>
    <row r="83" spans="1:4" x14ac:dyDescent="0.35">
      <c r="A83" s="11" t="s">
        <v>163</v>
      </c>
      <c r="B83" s="11" t="s">
        <v>107</v>
      </c>
      <c r="C83" s="12">
        <v>4</v>
      </c>
      <c r="D83" s="13">
        <f>VLOOKUP(C83,'Banding Fees'!A:B,2,FALSE)</f>
        <v>636</v>
      </c>
    </row>
    <row r="84" spans="1:4" x14ac:dyDescent="0.35">
      <c r="A84" s="11" t="s">
        <v>164</v>
      </c>
      <c r="B84" s="11" t="s">
        <v>165</v>
      </c>
      <c r="C84" s="12">
        <v>2</v>
      </c>
      <c r="D84" s="13">
        <f>VLOOKUP(C84,'Banding Fees'!A:B,2,FALSE)</f>
        <v>585</v>
      </c>
    </row>
    <row r="85" spans="1:4" x14ac:dyDescent="0.35">
      <c r="A85" s="11" t="s">
        <v>166</v>
      </c>
      <c r="B85" s="11" t="s">
        <v>167</v>
      </c>
      <c r="C85" s="12">
        <v>3</v>
      </c>
      <c r="D85" s="13">
        <f>VLOOKUP(C85,'Banding Fees'!A:B,2,FALSE)</f>
        <v>622</v>
      </c>
    </row>
    <row r="86" spans="1:4" x14ac:dyDescent="0.35">
      <c r="A86" s="11" t="s">
        <v>168</v>
      </c>
      <c r="B86" s="11" t="s">
        <v>169</v>
      </c>
      <c r="C86" s="12">
        <v>3</v>
      </c>
      <c r="D86" s="13">
        <f>VLOOKUP(C86,'Banding Fees'!A:B,2,FALSE)</f>
        <v>622</v>
      </c>
    </row>
    <row r="87" spans="1:4" x14ac:dyDescent="0.35">
      <c r="A87" s="11" t="s">
        <v>170</v>
      </c>
      <c r="B87" s="11" t="s">
        <v>171</v>
      </c>
      <c r="C87" s="12">
        <v>5</v>
      </c>
      <c r="D87" s="13">
        <f>VLOOKUP(C87,'Banding Fees'!A:B,2,FALSE)</f>
        <v>655</v>
      </c>
    </row>
    <row r="88" spans="1:4" x14ac:dyDescent="0.35">
      <c r="A88" s="11" t="s">
        <v>172</v>
      </c>
      <c r="B88" s="11" t="s">
        <v>173</v>
      </c>
      <c r="C88" s="12">
        <v>4</v>
      </c>
      <c r="D88" s="13">
        <f>VLOOKUP(C88,'Banding Fees'!A:B,2,FALSE)</f>
        <v>636</v>
      </c>
    </row>
    <row r="89" spans="1:4" x14ac:dyDescent="0.35">
      <c r="A89" s="11" t="s">
        <v>174</v>
      </c>
      <c r="B89" s="11" t="s">
        <v>175</v>
      </c>
      <c r="C89" s="12">
        <v>5</v>
      </c>
      <c r="D89" s="13">
        <f>VLOOKUP(C89,'Banding Fees'!A:B,2,FALSE)</f>
        <v>655</v>
      </c>
    </row>
    <row r="90" spans="1:4" x14ac:dyDescent="0.35">
      <c r="A90" s="11" t="s">
        <v>176</v>
      </c>
      <c r="B90" s="11" t="s">
        <v>177</v>
      </c>
      <c r="C90" s="12">
        <v>4</v>
      </c>
      <c r="D90" s="13">
        <f>VLOOKUP(C90,'Banding Fees'!A:B,2,FALSE)</f>
        <v>636</v>
      </c>
    </row>
    <row r="91" spans="1:4" x14ac:dyDescent="0.35">
      <c r="A91" s="11" t="s">
        <v>178</v>
      </c>
      <c r="B91" s="11" t="s">
        <v>179</v>
      </c>
      <c r="C91" s="12">
        <v>5</v>
      </c>
      <c r="D91" s="13">
        <f>VLOOKUP(C91,'Banding Fees'!A:B,2,FALSE)</f>
        <v>655</v>
      </c>
    </row>
    <row r="92" spans="1:4" x14ac:dyDescent="0.35">
      <c r="A92" s="11" t="s">
        <v>180</v>
      </c>
      <c r="B92" s="11" t="s">
        <v>181</v>
      </c>
      <c r="C92" s="12">
        <v>5</v>
      </c>
      <c r="D92" s="13">
        <f>VLOOKUP(C92,'Banding Fees'!A:B,2,FALSE)</f>
        <v>655</v>
      </c>
    </row>
    <row r="93" spans="1:4" x14ac:dyDescent="0.35">
      <c r="A93" s="11" t="s">
        <v>182</v>
      </c>
      <c r="B93" s="11" t="s">
        <v>183</v>
      </c>
      <c r="C93" s="12">
        <v>2</v>
      </c>
      <c r="D93" s="13">
        <f>VLOOKUP(C93,'Banding Fees'!A:B,2,FALSE)</f>
        <v>585</v>
      </c>
    </row>
    <row r="94" spans="1:4" x14ac:dyDescent="0.35">
      <c r="A94" s="11" t="s">
        <v>184</v>
      </c>
      <c r="B94" s="11" t="s">
        <v>185</v>
      </c>
      <c r="C94" s="12">
        <v>4</v>
      </c>
      <c r="D94" s="13">
        <f>VLOOKUP(C94,'Banding Fees'!A:B,2,FALSE)</f>
        <v>636</v>
      </c>
    </row>
    <row r="95" spans="1:4" x14ac:dyDescent="0.35">
      <c r="A95" s="11" t="s">
        <v>186</v>
      </c>
      <c r="B95" s="11" t="s">
        <v>187</v>
      </c>
      <c r="C95" s="12">
        <v>5</v>
      </c>
      <c r="D95" s="13">
        <f>VLOOKUP(C95,'Banding Fees'!A:B,2,FALSE)</f>
        <v>655</v>
      </c>
    </row>
    <row r="96" spans="1:4" x14ac:dyDescent="0.35">
      <c r="A96" s="11" t="s">
        <v>188</v>
      </c>
      <c r="B96" s="11" t="s">
        <v>189</v>
      </c>
      <c r="C96" s="12">
        <v>3</v>
      </c>
      <c r="D96" s="13">
        <f>VLOOKUP(C96,'Banding Fees'!A:B,2,FALSE)</f>
        <v>622</v>
      </c>
    </row>
    <row r="97" spans="1:4" x14ac:dyDescent="0.35">
      <c r="A97" s="11" t="s">
        <v>190</v>
      </c>
      <c r="B97" s="11" t="s">
        <v>191</v>
      </c>
      <c r="C97" s="12">
        <v>5</v>
      </c>
      <c r="D97" s="13">
        <f>VLOOKUP(C97,'Banding Fees'!A:B,2,FALSE)</f>
        <v>655</v>
      </c>
    </row>
    <row r="98" spans="1:4" x14ac:dyDescent="0.35">
      <c r="A98" s="11" t="s">
        <v>192</v>
      </c>
      <c r="B98" s="11" t="s">
        <v>193</v>
      </c>
      <c r="C98" s="12">
        <v>4</v>
      </c>
      <c r="D98" s="13">
        <f>VLOOKUP(C98,'Banding Fees'!A:B,2,FALSE)</f>
        <v>636</v>
      </c>
    </row>
    <row r="99" spans="1:4" x14ac:dyDescent="0.35">
      <c r="A99" s="11" t="s">
        <v>194</v>
      </c>
      <c r="B99" s="11" t="s">
        <v>195</v>
      </c>
      <c r="C99" s="12">
        <v>5</v>
      </c>
      <c r="D99" s="13">
        <f>VLOOKUP(C99,'Banding Fees'!A:B,2,FALSE)</f>
        <v>655</v>
      </c>
    </row>
    <row r="100" spans="1:4" x14ac:dyDescent="0.35">
      <c r="A100" s="11" t="s">
        <v>196</v>
      </c>
      <c r="B100" s="11" t="s">
        <v>197</v>
      </c>
      <c r="C100" s="12">
        <v>5</v>
      </c>
      <c r="D100" s="13">
        <f>VLOOKUP(C100,'Banding Fees'!A:B,2,FALSE)</f>
        <v>655</v>
      </c>
    </row>
    <row r="101" spans="1:4" x14ac:dyDescent="0.35">
      <c r="A101" s="11" t="s">
        <v>198</v>
      </c>
      <c r="B101" s="11" t="s">
        <v>199</v>
      </c>
      <c r="C101" s="12">
        <v>4</v>
      </c>
      <c r="D101" s="13">
        <f>VLOOKUP(C101,'Banding Fees'!A:B,2,FALSE)</f>
        <v>636</v>
      </c>
    </row>
    <row r="102" spans="1:4" x14ac:dyDescent="0.35">
      <c r="A102" s="11" t="s">
        <v>200</v>
      </c>
      <c r="B102" s="11" t="s">
        <v>201</v>
      </c>
      <c r="C102" s="12">
        <v>4</v>
      </c>
      <c r="D102" s="13">
        <f>VLOOKUP(C102,'Banding Fees'!A:B,2,FALSE)</f>
        <v>636</v>
      </c>
    </row>
    <row r="103" spans="1:4" x14ac:dyDescent="0.35">
      <c r="A103" s="11" t="s">
        <v>202</v>
      </c>
      <c r="B103" s="11" t="s">
        <v>203</v>
      </c>
      <c r="C103" s="12">
        <v>5</v>
      </c>
      <c r="D103" s="13">
        <f>VLOOKUP(C103,'Banding Fees'!A:B,2,FALSE)</f>
        <v>655</v>
      </c>
    </row>
    <row r="104" spans="1:4" x14ac:dyDescent="0.35">
      <c r="A104" s="11" t="s">
        <v>204</v>
      </c>
      <c r="B104" s="11" t="s">
        <v>205</v>
      </c>
      <c r="C104" s="12">
        <v>3</v>
      </c>
      <c r="D104" s="13">
        <f>VLOOKUP(C104,'Banding Fees'!A:B,2,FALSE)</f>
        <v>622</v>
      </c>
    </row>
    <row r="105" spans="1:4" x14ac:dyDescent="0.35">
      <c r="A105" s="11" t="s">
        <v>206</v>
      </c>
      <c r="B105" s="11" t="s">
        <v>207</v>
      </c>
      <c r="C105" s="12">
        <v>1</v>
      </c>
      <c r="D105" s="13">
        <f>VLOOKUP(C105,'Banding Fees'!A:B,2,FALSE)</f>
        <v>527</v>
      </c>
    </row>
    <row r="106" spans="1:4" x14ac:dyDescent="0.35">
      <c r="A106" s="11" t="s">
        <v>208</v>
      </c>
      <c r="B106" s="11" t="s">
        <v>209</v>
      </c>
      <c r="C106" s="12">
        <v>3</v>
      </c>
      <c r="D106" s="13">
        <f>VLOOKUP(C106,'Banding Fees'!A:B,2,FALSE)</f>
        <v>622</v>
      </c>
    </row>
    <row r="107" spans="1:4" x14ac:dyDescent="0.35">
      <c r="A107" s="11" t="s">
        <v>210</v>
      </c>
      <c r="B107" s="11" t="s">
        <v>211</v>
      </c>
      <c r="C107" s="12">
        <v>5</v>
      </c>
      <c r="D107" s="13">
        <f>VLOOKUP(C107,'Banding Fees'!A:B,2,FALSE)</f>
        <v>655</v>
      </c>
    </row>
    <row r="108" spans="1:4" x14ac:dyDescent="0.35">
      <c r="A108" s="11" t="s">
        <v>212</v>
      </c>
      <c r="B108" s="11" t="s">
        <v>213</v>
      </c>
      <c r="C108" s="12">
        <v>5</v>
      </c>
      <c r="D108" s="13">
        <f>VLOOKUP(C108,'Banding Fees'!A:B,2,FALSE)</f>
        <v>655</v>
      </c>
    </row>
    <row r="109" spans="1:4" x14ac:dyDescent="0.35">
      <c r="A109" s="11" t="s">
        <v>214</v>
      </c>
      <c r="B109" s="11" t="s">
        <v>215</v>
      </c>
      <c r="C109" s="12">
        <v>4</v>
      </c>
      <c r="D109" s="13">
        <f>VLOOKUP(C109,'Banding Fees'!A:B,2,FALSE)</f>
        <v>636</v>
      </c>
    </row>
    <row r="110" spans="1:4" x14ac:dyDescent="0.35">
      <c r="A110" s="11" t="s">
        <v>216</v>
      </c>
      <c r="B110" s="11" t="s">
        <v>217</v>
      </c>
      <c r="C110" s="12">
        <v>1</v>
      </c>
      <c r="D110" s="13">
        <f>VLOOKUP(C110,'Banding Fees'!A:B,2,FALSE)</f>
        <v>527</v>
      </c>
    </row>
    <row r="111" spans="1:4" x14ac:dyDescent="0.35">
      <c r="A111" s="11" t="s">
        <v>218</v>
      </c>
      <c r="B111" s="11" t="s">
        <v>219</v>
      </c>
      <c r="C111" s="12">
        <v>1</v>
      </c>
      <c r="D111" s="13">
        <f>VLOOKUP(C111,'Banding Fees'!A:B,2,FALSE)</f>
        <v>527</v>
      </c>
    </row>
    <row r="112" spans="1:4" x14ac:dyDescent="0.35">
      <c r="A112" s="11" t="s">
        <v>220</v>
      </c>
      <c r="B112" s="11" t="s">
        <v>221</v>
      </c>
      <c r="C112" s="12">
        <v>4</v>
      </c>
      <c r="D112" s="13">
        <f>VLOOKUP(C112,'Banding Fees'!A:B,2,FALSE)</f>
        <v>636</v>
      </c>
    </row>
    <row r="113" spans="1:4" x14ac:dyDescent="0.35">
      <c r="A113" s="11" t="s">
        <v>222</v>
      </c>
      <c r="B113" s="11" t="s">
        <v>223</v>
      </c>
      <c r="C113" s="12">
        <v>4</v>
      </c>
      <c r="D113" s="13">
        <f>VLOOKUP(C113,'Banding Fees'!A:B,2,FALSE)</f>
        <v>636</v>
      </c>
    </row>
    <row r="114" spans="1:4" x14ac:dyDescent="0.35">
      <c r="A114" s="11" t="s">
        <v>224</v>
      </c>
      <c r="B114" s="11" t="s">
        <v>225</v>
      </c>
      <c r="C114" s="12">
        <v>4</v>
      </c>
      <c r="D114" s="13">
        <f>VLOOKUP(C114,'Banding Fees'!A:B,2,FALSE)</f>
        <v>636</v>
      </c>
    </row>
    <row r="115" spans="1:4" x14ac:dyDescent="0.35">
      <c r="A115" s="11" t="s">
        <v>226</v>
      </c>
      <c r="B115" s="11" t="s">
        <v>227</v>
      </c>
      <c r="C115" s="12">
        <v>3</v>
      </c>
      <c r="D115" s="13">
        <f>VLOOKUP(C115,'Banding Fees'!A:B,2,FALSE)</f>
        <v>622</v>
      </c>
    </row>
    <row r="116" spans="1:4" x14ac:dyDescent="0.35">
      <c r="A116" s="11" t="s">
        <v>228</v>
      </c>
      <c r="B116" s="11" t="s">
        <v>229</v>
      </c>
      <c r="C116" s="12">
        <v>5</v>
      </c>
      <c r="D116" s="13">
        <f>VLOOKUP(C116,'Banding Fees'!A:B,2,FALSE)</f>
        <v>655</v>
      </c>
    </row>
    <row r="117" spans="1:4" x14ac:dyDescent="0.35">
      <c r="A117" s="11" t="s">
        <v>230</v>
      </c>
      <c r="B117" s="11" t="s">
        <v>231</v>
      </c>
      <c r="C117" s="12">
        <v>5</v>
      </c>
      <c r="D117" s="13">
        <f>VLOOKUP(C117,'Banding Fees'!A:B,2,FALSE)</f>
        <v>655</v>
      </c>
    </row>
    <row r="118" spans="1:4" x14ac:dyDescent="0.35">
      <c r="A118" s="11" t="s">
        <v>232</v>
      </c>
      <c r="B118" s="11" t="s">
        <v>233</v>
      </c>
      <c r="C118" s="12">
        <v>5</v>
      </c>
      <c r="D118" s="13">
        <f>VLOOKUP(C118,'Banding Fees'!A:B,2,FALSE)</f>
        <v>655</v>
      </c>
    </row>
    <row r="119" spans="1:4" x14ac:dyDescent="0.35">
      <c r="A119" s="11" t="s">
        <v>234</v>
      </c>
      <c r="B119" s="11" t="s">
        <v>235</v>
      </c>
      <c r="C119" s="12">
        <v>5</v>
      </c>
      <c r="D119" s="13">
        <f>VLOOKUP(C119,'Banding Fees'!A:B,2,FALSE)</f>
        <v>655</v>
      </c>
    </row>
    <row r="120" spans="1:4" x14ac:dyDescent="0.35">
      <c r="A120" s="11" t="s">
        <v>236</v>
      </c>
      <c r="B120" s="11" t="s">
        <v>237</v>
      </c>
      <c r="C120" s="12">
        <v>5</v>
      </c>
      <c r="D120" s="13">
        <f>VLOOKUP(C120,'Banding Fees'!A:B,2,FALSE)</f>
        <v>655</v>
      </c>
    </row>
    <row r="121" spans="1:4" x14ac:dyDescent="0.35">
      <c r="A121" s="11" t="s">
        <v>238</v>
      </c>
      <c r="B121" s="11" t="s">
        <v>239</v>
      </c>
      <c r="C121" s="12">
        <v>1</v>
      </c>
      <c r="D121" s="13">
        <f>VLOOKUP(C121,'Banding Fees'!A:B,2,FALSE)</f>
        <v>527</v>
      </c>
    </row>
    <row r="122" spans="1:4" x14ac:dyDescent="0.35">
      <c r="A122" s="11" t="s">
        <v>240</v>
      </c>
      <c r="B122" s="11" t="s">
        <v>241</v>
      </c>
      <c r="C122" s="12">
        <v>5</v>
      </c>
      <c r="D122" s="13">
        <f>VLOOKUP(C122,'Banding Fees'!A:B,2,FALSE)</f>
        <v>655</v>
      </c>
    </row>
    <row r="123" spans="1:4" x14ac:dyDescent="0.35">
      <c r="A123" s="11" t="s">
        <v>242</v>
      </c>
      <c r="B123" s="11" t="s">
        <v>243</v>
      </c>
      <c r="C123" s="12">
        <v>3</v>
      </c>
      <c r="D123" s="13">
        <f>VLOOKUP(C123,'Banding Fees'!A:B,2,FALSE)</f>
        <v>622</v>
      </c>
    </row>
    <row r="124" spans="1:4" x14ac:dyDescent="0.35">
      <c r="A124" s="11" t="s">
        <v>244</v>
      </c>
      <c r="B124" s="11" t="s">
        <v>245</v>
      </c>
      <c r="C124" s="12">
        <v>1</v>
      </c>
      <c r="D124" s="13">
        <f>VLOOKUP(C124,'Banding Fees'!A:B,2,FALSE)</f>
        <v>527</v>
      </c>
    </row>
    <row r="125" spans="1:4" x14ac:dyDescent="0.35">
      <c r="A125" s="11" t="s">
        <v>246</v>
      </c>
      <c r="B125" s="11" t="s">
        <v>247</v>
      </c>
      <c r="C125" s="12">
        <v>5</v>
      </c>
      <c r="D125" s="13">
        <f>VLOOKUP(C125,'Banding Fees'!A:B,2,FALSE)</f>
        <v>655</v>
      </c>
    </row>
    <row r="126" spans="1:4" x14ac:dyDescent="0.35">
      <c r="A126" s="11" t="s">
        <v>248</v>
      </c>
      <c r="B126" s="11" t="s">
        <v>249</v>
      </c>
      <c r="C126" s="12">
        <v>2</v>
      </c>
      <c r="D126" s="13">
        <f>VLOOKUP(C126,'Banding Fees'!A:B,2,FALSE)</f>
        <v>585</v>
      </c>
    </row>
    <row r="127" spans="1:4" x14ac:dyDescent="0.35">
      <c r="A127" s="11" t="s">
        <v>250</v>
      </c>
      <c r="B127" s="11" t="s">
        <v>136</v>
      </c>
      <c r="C127" s="12">
        <v>4</v>
      </c>
      <c r="D127" s="13">
        <f>VLOOKUP(C127,'Banding Fees'!A:B,2,FALSE)</f>
        <v>636</v>
      </c>
    </row>
    <row r="128" spans="1:4" x14ac:dyDescent="0.35">
      <c r="A128" s="11" t="s">
        <v>251</v>
      </c>
      <c r="B128" s="11" t="s">
        <v>245</v>
      </c>
      <c r="C128" s="12">
        <v>5</v>
      </c>
      <c r="D128" s="13">
        <f>VLOOKUP(C128,'Banding Fees'!A:B,2,FALSE)</f>
        <v>655</v>
      </c>
    </row>
    <row r="129" spans="1:4" x14ac:dyDescent="0.35">
      <c r="A129" s="11" t="s">
        <v>252</v>
      </c>
      <c r="B129" s="11" t="s">
        <v>253</v>
      </c>
      <c r="C129" s="12">
        <v>4</v>
      </c>
      <c r="D129" s="13">
        <f>VLOOKUP(C129,'Banding Fees'!A:B,2,FALSE)</f>
        <v>636</v>
      </c>
    </row>
    <row r="130" spans="1:4" x14ac:dyDescent="0.35">
      <c r="A130" s="11" t="s">
        <v>254</v>
      </c>
      <c r="B130" s="11" t="s">
        <v>255</v>
      </c>
      <c r="C130" s="12">
        <v>3</v>
      </c>
      <c r="D130" s="13">
        <f>VLOOKUP(C130,'Banding Fees'!A:B,2,FALSE)</f>
        <v>622</v>
      </c>
    </row>
    <row r="131" spans="1:4" x14ac:dyDescent="0.35">
      <c r="A131" s="11" t="s">
        <v>256</v>
      </c>
      <c r="B131" s="11" t="s">
        <v>257</v>
      </c>
      <c r="C131" s="12">
        <v>1</v>
      </c>
      <c r="D131" s="13">
        <f>VLOOKUP(C131,'Banding Fees'!A:B,2,FALSE)</f>
        <v>527</v>
      </c>
    </row>
    <row r="132" spans="1:4" x14ac:dyDescent="0.35">
      <c r="A132" s="11" t="s">
        <v>258</v>
      </c>
      <c r="B132" s="11" t="s">
        <v>259</v>
      </c>
      <c r="C132" s="12">
        <v>5</v>
      </c>
      <c r="D132" s="13">
        <f>VLOOKUP(C132,'Banding Fees'!A:B,2,FALSE)</f>
        <v>655</v>
      </c>
    </row>
    <row r="133" spans="1:4" x14ac:dyDescent="0.35">
      <c r="A133" s="11" t="s">
        <v>260</v>
      </c>
      <c r="B133" s="11" t="s">
        <v>261</v>
      </c>
      <c r="C133" s="12">
        <v>5</v>
      </c>
      <c r="D133" s="13">
        <f>VLOOKUP(C133,'Banding Fees'!A:B,2,FALSE)</f>
        <v>655</v>
      </c>
    </row>
    <row r="134" spans="1:4" x14ac:dyDescent="0.35">
      <c r="A134" s="11" t="s">
        <v>262</v>
      </c>
      <c r="B134" s="11" t="s">
        <v>263</v>
      </c>
      <c r="C134" s="12">
        <v>5</v>
      </c>
      <c r="D134" s="13">
        <f>VLOOKUP(C134,'Banding Fees'!A:B,2,FALSE)</f>
        <v>655</v>
      </c>
    </row>
    <row r="135" spans="1:4" x14ac:dyDescent="0.35">
      <c r="A135" s="11" t="s">
        <v>264</v>
      </c>
      <c r="B135" s="11" t="s">
        <v>245</v>
      </c>
      <c r="C135" s="12">
        <v>2</v>
      </c>
      <c r="D135" s="13">
        <f>VLOOKUP(C135,'Banding Fees'!A:B,2,FALSE)</f>
        <v>585</v>
      </c>
    </row>
    <row r="136" spans="1:4" x14ac:dyDescent="0.35">
      <c r="A136" s="11" t="s">
        <v>265</v>
      </c>
      <c r="B136" s="11" t="s">
        <v>266</v>
      </c>
      <c r="C136" s="12">
        <v>3</v>
      </c>
      <c r="D136" s="13">
        <f>VLOOKUP(C136,'Banding Fees'!A:B,2,FALSE)</f>
        <v>622</v>
      </c>
    </row>
    <row r="137" spans="1:4" x14ac:dyDescent="0.35">
      <c r="A137" s="11" t="s">
        <v>267</v>
      </c>
      <c r="B137" s="11" t="s">
        <v>268</v>
      </c>
      <c r="C137" s="12">
        <v>5</v>
      </c>
      <c r="D137" s="13">
        <f>VLOOKUP(C137,'Banding Fees'!A:B,2,FALSE)</f>
        <v>655</v>
      </c>
    </row>
    <row r="138" spans="1:4" x14ac:dyDescent="0.35">
      <c r="A138" s="11" t="s">
        <v>269</v>
      </c>
      <c r="B138" s="11" t="s">
        <v>270</v>
      </c>
      <c r="C138" s="12">
        <v>3</v>
      </c>
      <c r="D138" s="13">
        <f>VLOOKUP(C138,'Banding Fees'!A:B,2,FALSE)</f>
        <v>622</v>
      </c>
    </row>
    <row r="139" spans="1:4" x14ac:dyDescent="0.35">
      <c r="A139" s="11" t="s">
        <v>271</v>
      </c>
      <c r="B139" s="11" t="s">
        <v>272</v>
      </c>
      <c r="C139" s="12">
        <v>5</v>
      </c>
      <c r="D139" s="13">
        <f>VLOOKUP(C139,'Banding Fees'!A:B,2,FALSE)</f>
        <v>655</v>
      </c>
    </row>
    <row r="140" spans="1:4" x14ac:dyDescent="0.35">
      <c r="A140" s="11" t="s">
        <v>273</v>
      </c>
      <c r="B140" s="11" t="s">
        <v>272</v>
      </c>
      <c r="C140" s="12">
        <v>5</v>
      </c>
      <c r="D140" s="13">
        <f>VLOOKUP(C140,'Banding Fees'!A:B,2,FALSE)</f>
        <v>655</v>
      </c>
    </row>
    <row r="141" spans="1:4" x14ac:dyDescent="0.35">
      <c r="A141" s="11" t="s">
        <v>274</v>
      </c>
      <c r="B141" s="11" t="s">
        <v>272</v>
      </c>
      <c r="C141" s="12">
        <v>5</v>
      </c>
      <c r="D141" s="13">
        <f>VLOOKUP(C141,'Banding Fees'!A:B,2,FALSE)</f>
        <v>655</v>
      </c>
    </row>
    <row r="142" spans="1:4" x14ac:dyDescent="0.35">
      <c r="A142" s="11" t="s">
        <v>275</v>
      </c>
      <c r="B142" s="11" t="s">
        <v>123</v>
      </c>
      <c r="C142" s="12">
        <v>4</v>
      </c>
      <c r="D142" s="13">
        <f>VLOOKUP(C142,'Banding Fees'!A:B,2,FALSE)</f>
        <v>636</v>
      </c>
    </row>
    <row r="143" spans="1:4" x14ac:dyDescent="0.35">
      <c r="A143" s="11" t="s">
        <v>276</v>
      </c>
      <c r="B143" s="11" t="s">
        <v>277</v>
      </c>
      <c r="C143" s="12">
        <v>5</v>
      </c>
      <c r="D143" s="13">
        <f>VLOOKUP(C143,'Banding Fees'!A:B,2,FALSE)</f>
        <v>655</v>
      </c>
    </row>
    <row r="144" spans="1:4" x14ac:dyDescent="0.35">
      <c r="A144" s="11" t="s">
        <v>278</v>
      </c>
      <c r="B144" s="11" t="s">
        <v>279</v>
      </c>
      <c r="C144" s="12">
        <v>1</v>
      </c>
      <c r="D144" s="13">
        <f>VLOOKUP(C144,'Banding Fees'!A:B,2,FALSE)</f>
        <v>527</v>
      </c>
    </row>
    <row r="145" spans="1:4" x14ac:dyDescent="0.35">
      <c r="A145" s="11" t="s">
        <v>280</v>
      </c>
      <c r="B145" s="11" t="s">
        <v>281</v>
      </c>
      <c r="C145" s="12">
        <v>5</v>
      </c>
      <c r="D145" s="13">
        <f>VLOOKUP(C145,'Banding Fees'!A:B,2,FALSE)</f>
        <v>655</v>
      </c>
    </row>
    <row r="146" spans="1:4" x14ac:dyDescent="0.35">
      <c r="A146" s="11" t="s">
        <v>282</v>
      </c>
      <c r="B146" s="11" t="s">
        <v>283</v>
      </c>
      <c r="C146" s="12">
        <v>5</v>
      </c>
      <c r="D146" s="13">
        <f>VLOOKUP(C146,'Banding Fees'!A:B,2,FALSE)</f>
        <v>655</v>
      </c>
    </row>
    <row r="147" spans="1:4" x14ac:dyDescent="0.35">
      <c r="A147" s="11" t="s">
        <v>284</v>
      </c>
      <c r="B147" s="11" t="s">
        <v>285</v>
      </c>
      <c r="C147" s="12">
        <v>5</v>
      </c>
      <c r="D147" s="13">
        <f>VLOOKUP(C147,'Banding Fees'!A:B,2,FALSE)</f>
        <v>655</v>
      </c>
    </row>
    <row r="148" spans="1:4" x14ac:dyDescent="0.35">
      <c r="A148" s="11" t="s">
        <v>286</v>
      </c>
      <c r="B148" s="11" t="s">
        <v>287</v>
      </c>
      <c r="C148" s="12">
        <v>5</v>
      </c>
      <c r="D148" s="13">
        <f>VLOOKUP(C148,'Banding Fees'!A:B,2,FALSE)</f>
        <v>655</v>
      </c>
    </row>
    <row r="149" spans="1:4" x14ac:dyDescent="0.35">
      <c r="A149" s="11" t="s">
        <v>288</v>
      </c>
      <c r="B149" s="11" t="s">
        <v>289</v>
      </c>
      <c r="C149" s="12">
        <v>5</v>
      </c>
      <c r="D149" s="13">
        <f>VLOOKUP(C149,'Banding Fees'!A:B,2,FALSE)</f>
        <v>655</v>
      </c>
    </row>
    <row r="150" spans="1:4" x14ac:dyDescent="0.35">
      <c r="A150" s="11" t="s">
        <v>290</v>
      </c>
      <c r="B150" s="11" t="s">
        <v>291</v>
      </c>
      <c r="C150" s="12">
        <v>4</v>
      </c>
      <c r="D150" s="13">
        <f>VLOOKUP(C150,'Banding Fees'!A:B,2,FALSE)</f>
        <v>636</v>
      </c>
    </row>
    <row r="151" spans="1:4" x14ac:dyDescent="0.35">
      <c r="A151" s="11" t="s">
        <v>292</v>
      </c>
      <c r="B151" s="11" t="s">
        <v>293</v>
      </c>
      <c r="C151" s="12">
        <v>4</v>
      </c>
      <c r="D151" s="13">
        <f>VLOOKUP(C151,'Banding Fees'!A:B,2,FALSE)</f>
        <v>636</v>
      </c>
    </row>
    <row r="152" spans="1:4" x14ac:dyDescent="0.35">
      <c r="A152" s="11" t="s">
        <v>294</v>
      </c>
      <c r="B152" s="11" t="s">
        <v>295</v>
      </c>
      <c r="C152" s="12">
        <v>4</v>
      </c>
      <c r="D152" s="13">
        <f>VLOOKUP(C152,'Banding Fees'!A:B,2,FALSE)</f>
        <v>636</v>
      </c>
    </row>
    <row r="153" spans="1:4" x14ac:dyDescent="0.35">
      <c r="A153" s="11" t="s">
        <v>296</v>
      </c>
      <c r="B153" s="11" t="s">
        <v>297</v>
      </c>
      <c r="C153" s="12">
        <v>5</v>
      </c>
      <c r="D153" s="13">
        <f>VLOOKUP(C153,'Banding Fees'!A:B,2,FALSE)</f>
        <v>655</v>
      </c>
    </row>
    <row r="154" spans="1:4" x14ac:dyDescent="0.35">
      <c r="A154" s="11" t="s">
        <v>298</v>
      </c>
      <c r="B154" s="11" t="s">
        <v>299</v>
      </c>
      <c r="C154" s="12">
        <v>5</v>
      </c>
      <c r="D154" s="13">
        <f>VLOOKUP(C154,'Banding Fees'!A:B,2,FALSE)</f>
        <v>655</v>
      </c>
    </row>
    <row r="155" spans="1:4" x14ac:dyDescent="0.35">
      <c r="A155" s="11" t="s">
        <v>300</v>
      </c>
      <c r="B155" s="11" t="s">
        <v>301</v>
      </c>
      <c r="C155" s="12">
        <v>5</v>
      </c>
      <c r="D155" s="13">
        <f>VLOOKUP(C155,'Banding Fees'!A:B,2,FALSE)</f>
        <v>655</v>
      </c>
    </row>
    <row r="156" spans="1:4" x14ac:dyDescent="0.35">
      <c r="A156" s="11" t="s">
        <v>302</v>
      </c>
      <c r="B156" s="11" t="s">
        <v>303</v>
      </c>
      <c r="C156" s="12">
        <v>4</v>
      </c>
      <c r="D156" s="13">
        <f>VLOOKUP(C156,'Banding Fees'!A:B,2,FALSE)</f>
        <v>636</v>
      </c>
    </row>
    <row r="157" spans="1:4" x14ac:dyDescent="0.35">
      <c r="A157" s="11" t="s">
        <v>304</v>
      </c>
      <c r="B157" s="11" t="s">
        <v>305</v>
      </c>
      <c r="C157" s="12">
        <v>5</v>
      </c>
      <c r="D157" s="13">
        <f>VLOOKUP(C157,'Banding Fees'!A:B,2,FALSE)</f>
        <v>655</v>
      </c>
    </row>
  </sheetData>
  <sheetProtection sheet="1" objects="1" scenarios="1"/>
  <autoFilter ref="A1:D1" xr:uid="{7000E123-CD81-4FE4-8CDB-27AF4D4F78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D6920-2F58-4794-9AFF-F3D942D85508}">
  <dimension ref="A1:E7"/>
  <sheetViews>
    <sheetView workbookViewId="0">
      <selection activeCell="I5" sqref="I5"/>
    </sheetView>
  </sheetViews>
  <sheetFormatPr defaultRowHeight="14.5" x14ac:dyDescent="0.35"/>
  <cols>
    <col min="1" max="1" width="12.6328125" style="1" customWidth="1"/>
    <col min="2" max="5" width="12.6328125" customWidth="1"/>
  </cols>
  <sheetData>
    <row r="1" spans="1:5" ht="77.5" x14ac:dyDescent="0.35">
      <c r="A1" s="3" t="s">
        <v>307</v>
      </c>
      <c r="B1" s="4" t="s">
        <v>306</v>
      </c>
      <c r="C1" s="5" t="s">
        <v>308</v>
      </c>
      <c r="D1" s="6" t="s">
        <v>309</v>
      </c>
      <c r="E1" s="6" t="s">
        <v>310</v>
      </c>
    </row>
    <row r="2" spans="1:5" ht="30" customHeight="1" x14ac:dyDescent="0.35">
      <c r="A2" s="3">
        <v>1</v>
      </c>
      <c r="B2" s="2">
        <v>527</v>
      </c>
      <c r="C2" s="2">
        <v>542</v>
      </c>
      <c r="D2" s="2">
        <v>573</v>
      </c>
      <c r="E2" s="2">
        <v>585</v>
      </c>
    </row>
    <row r="3" spans="1:5" ht="30" customHeight="1" x14ac:dyDescent="0.35">
      <c r="A3" s="3">
        <v>2</v>
      </c>
      <c r="B3" s="2">
        <v>585</v>
      </c>
      <c r="C3" s="2">
        <v>646</v>
      </c>
      <c r="D3" s="2">
        <v>656</v>
      </c>
      <c r="E3" s="2">
        <v>707</v>
      </c>
    </row>
    <row r="4" spans="1:5" ht="30" customHeight="1" x14ac:dyDescent="0.35">
      <c r="A4" s="3">
        <v>3</v>
      </c>
      <c r="B4" s="2">
        <v>622</v>
      </c>
      <c r="C4" s="2">
        <v>679</v>
      </c>
      <c r="D4" s="2">
        <v>690</v>
      </c>
      <c r="E4" s="2">
        <v>744</v>
      </c>
    </row>
    <row r="5" spans="1:5" ht="30" customHeight="1" x14ac:dyDescent="0.35">
      <c r="A5" s="3">
        <v>4</v>
      </c>
      <c r="B5" s="2">
        <v>636</v>
      </c>
      <c r="C5" s="2">
        <v>692</v>
      </c>
      <c r="D5" s="2">
        <v>705</v>
      </c>
      <c r="E5" s="2">
        <v>758</v>
      </c>
    </row>
    <row r="6" spans="1:5" ht="30" customHeight="1" x14ac:dyDescent="0.35">
      <c r="A6" s="3">
        <v>5</v>
      </c>
      <c r="B6" s="2">
        <v>655</v>
      </c>
      <c r="C6" s="2">
        <v>713</v>
      </c>
      <c r="D6" s="2">
        <v>726</v>
      </c>
      <c r="E6" s="2">
        <v>776</v>
      </c>
    </row>
    <row r="7" spans="1:5" ht="30" customHeight="1" x14ac:dyDescent="0.35"/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Care Home List</vt:lpstr>
      <vt:lpstr>Banding Fees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 Smithson1</dc:creator>
  <cp:lastModifiedBy>Helen Manser</cp:lastModifiedBy>
  <dcterms:created xsi:type="dcterms:W3CDTF">2022-07-01T11:33:28Z</dcterms:created>
  <dcterms:modified xsi:type="dcterms:W3CDTF">2022-07-04T08:59:07Z</dcterms:modified>
</cp:coreProperties>
</file>