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python.xml" ContentType="application/vnd.ms-excel.pyth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nottsgov-my.sharepoint.com/personal/helen_manser_nottscc_gov_uk/Documents/Attachments/Desktop/For uploading/"/>
    </mc:Choice>
  </mc:AlternateContent>
  <xr:revisionPtr revIDLastSave="0" documentId="8_{E5C3DCAD-D536-41D5-B8FC-71BDC2A07520}" xr6:coauthVersionLast="47" xr6:coauthVersionMax="47" xr10:uidLastSave="{00000000-0000-0000-0000-000000000000}"/>
  <workbookProtection lockStructure="1"/>
  <bookViews>
    <workbookView xWindow="28680" yWindow="-120" windowWidth="29040" windowHeight="15720" tabRatio="728" xr2:uid="{00000000-000D-0000-FFFF-FFFF00000000}"/>
  </bookViews>
  <sheets>
    <sheet name="CSE Calc" sheetId="7" r:id="rId1"/>
    <sheet name="Description" sheetId="8" state="hidden" r:id="rId2"/>
    <sheet name="Rates" sheetId="5" state="hidden" r:id="rId3"/>
    <sheet name="Lookup" sheetId="4" state="hidden" r:id="rId4"/>
  </sheets>
  <definedNames>
    <definedName name="_xlnm._FilterDatabase" localSheetId="2" hidden="1">Rates!$A$2:$K$386</definedName>
    <definedName name="Accommodation_Based_Supported_Living_Providers_Current">Rates!$C$196:$C$259</definedName>
    <definedName name="After_Community_Network_Providers">Rates!$C$352:$C$386</definedName>
    <definedName name="After_Support">Lookup!$S$4:$S$7</definedName>
    <definedName name="After_Support_Description">Lookup!$S$3:$T$7</definedName>
    <definedName name="After_Supported_Living_Plus_With_Accomm_Providers">Rates!$C$306:$C$351</definedName>
    <definedName name="After_Supported_Living_Plus_Without_Accomm_Providers">Rates!$C$260:$C$305</definedName>
    <definedName name="After_Supported_Living_WITH_Accomm__Providers">Rates!$C$196:$C$259</definedName>
    <definedName name="After_Supported_Living_Without_Accomm_Providers">Rates!$C$132:$C$195</definedName>
    <definedName name="Current_CSE_Day_Care">Rates!$C$107:$C$131</definedName>
    <definedName name="Current_Outreach_Providers">Rates!$C$45:$C$69</definedName>
    <definedName name="Current_Support">Lookup!$Q$3:$Q$6</definedName>
    <definedName name="Current_Support_Description">Lookup!$Q$2:$R$6</definedName>
    <definedName name="Current_Supported_Living_Plus_Providers">Rates!$C$95:$C$106</definedName>
    <definedName name="Current_Supported_Living_Providers">Rates!$C$70:$C$94</definedName>
    <definedName name="Enhanced_Supported_Living_Providers_Current">Rates!$C$252:$C$293</definedName>
    <definedName name="ICB">Lookup!$AC$2:$AC$4</definedName>
    <definedName name="Legacy_Outreach_Providers">Rates!$C$3:$C$18</definedName>
    <definedName name="Legacy_Support">Lookup!$O$3:$O$5</definedName>
    <definedName name="Legacy_Support_Description">Lookup!$O$2:$P$5</definedName>
    <definedName name="Legacy_Supported_Living_Plus_Providers">Rates!$C$37:$C$44</definedName>
    <definedName name="Legacy_Supported_Living_Providers">Rates!$C$19:$C$36</definedName>
    <definedName name="NCCOnetoOneHours">'CSE Calc'!$B$48</definedName>
    <definedName name="NoYes">Lookup!$G$3:$G$4</definedName>
    <definedName name="Outreach_Providers_Historic">Rates!$C$3:$C$18</definedName>
    <definedName name="Outreach_Providers_Legacy">Rates!$C$45:$C$69</definedName>
    <definedName name="_xlnm.Print_Area" localSheetId="0">'CSE Calc'!$A$1:$J$86</definedName>
    <definedName name="Select_Provider">'CSE Calc'!$B$30</definedName>
    <definedName name="SharedDaytimeContr">'CSE Calc'!$B$58</definedName>
    <definedName name="SharedWakingNightsContr">'CSE Calc'!$B$59</definedName>
    <definedName name="Standard_NonStandard">Lookup!$H$3:$H$4</definedName>
    <definedName name="SupportafterDec19">Lookup!$Q$3:$Q$6</definedName>
    <definedName name="SupportbeforeDec19">Lookup!$O$3:$O$5</definedName>
    <definedName name="Teams">Lookup!$I$3:$I$17</definedName>
    <definedName name="YesNo">Lookup!$F$3:$F$4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259" i="5" l="1"/>
  <c r="P195" i="5"/>
  <c r="L351" i="5"/>
  <c r="B34" i="8" l="1"/>
  <c r="B9" i="8"/>
  <c r="B6" i="8"/>
  <c r="C2" i="8"/>
  <c r="B2" i="8"/>
  <c r="G386" i="5" l="1"/>
  <c r="D386" i="5"/>
  <c r="G385" i="5"/>
  <c r="D385" i="5"/>
  <c r="G384" i="5"/>
  <c r="D384" i="5"/>
  <c r="G383" i="5"/>
  <c r="D383" i="5"/>
  <c r="G382" i="5"/>
  <c r="D382" i="5"/>
  <c r="G381" i="5"/>
  <c r="D381" i="5"/>
  <c r="G380" i="5"/>
  <c r="D380" i="5"/>
  <c r="G379" i="5"/>
  <c r="D379" i="5"/>
  <c r="G378" i="5"/>
  <c r="D378" i="5"/>
  <c r="G376" i="5"/>
  <c r="D376" i="5"/>
  <c r="G377" i="5"/>
  <c r="D377" i="5"/>
  <c r="G375" i="5"/>
  <c r="D375" i="5"/>
  <c r="G374" i="5"/>
  <c r="D374" i="5"/>
  <c r="G373" i="5"/>
  <c r="D373" i="5"/>
  <c r="G371" i="5"/>
  <c r="D371" i="5"/>
  <c r="G372" i="5"/>
  <c r="D372" i="5"/>
  <c r="G370" i="5"/>
  <c r="D370" i="5"/>
  <c r="G369" i="5"/>
  <c r="D369" i="5"/>
  <c r="G368" i="5"/>
  <c r="D368" i="5"/>
  <c r="G367" i="5"/>
  <c r="D367" i="5"/>
  <c r="G366" i="5"/>
  <c r="D366" i="5"/>
  <c r="G365" i="5"/>
  <c r="D365" i="5"/>
  <c r="G364" i="5"/>
  <c r="D364" i="5"/>
  <c r="G363" i="5"/>
  <c r="D363" i="5"/>
  <c r="G362" i="5"/>
  <c r="D362" i="5"/>
  <c r="G361" i="5"/>
  <c r="D361" i="5"/>
  <c r="G360" i="5"/>
  <c r="D360" i="5"/>
  <c r="G359" i="5"/>
  <c r="D359" i="5"/>
  <c r="G358" i="5"/>
  <c r="D358" i="5"/>
  <c r="G357" i="5"/>
  <c r="D357" i="5"/>
  <c r="G356" i="5"/>
  <c r="D356" i="5"/>
  <c r="G355" i="5"/>
  <c r="D355" i="5"/>
  <c r="G354" i="5"/>
  <c r="D354" i="5"/>
  <c r="G353" i="5"/>
  <c r="D353" i="5"/>
  <c r="G352" i="5"/>
  <c r="D352" i="5"/>
  <c r="G351" i="5"/>
  <c r="D351" i="5"/>
  <c r="G350" i="5"/>
  <c r="D350" i="5"/>
  <c r="G349" i="5"/>
  <c r="D349" i="5"/>
  <c r="G348" i="5"/>
  <c r="D348" i="5"/>
  <c r="G347" i="5"/>
  <c r="D347" i="5"/>
  <c r="G346" i="5"/>
  <c r="D346" i="5"/>
  <c r="G345" i="5"/>
  <c r="D345" i="5"/>
  <c r="G344" i="5"/>
  <c r="D344" i="5"/>
  <c r="G343" i="5"/>
  <c r="D343" i="5"/>
  <c r="G342" i="5"/>
  <c r="D342" i="5"/>
  <c r="G341" i="5"/>
  <c r="D341" i="5"/>
  <c r="G340" i="5"/>
  <c r="D340" i="5"/>
  <c r="G339" i="5"/>
  <c r="D339" i="5"/>
  <c r="G338" i="5"/>
  <c r="D338" i="5"/>
  <c r="G337" i="5"/>
  <c r="D337" i="5"/>
  <c r="G336" i="5"/>
  <c r="D336" i="5"/>
  <c r="G335" i="5"/>
  <c r="D335" i="5"/>
  <c r="G334" i="5"/>
  <c r="D334" i="5"/>
  <c r="G333" i="5"/>
  <c r="D333" i="5"/>
  <c r="G332" i="5"/>
  <c r="D332" i="5"/>
  <c r="G331" i="5"/>
  <c r="D331" i="5"/>
  <c r="G330" i="5"/>
  <c r="D330" i="5"/>
  <c r="G318" i="5"/>
  <c r="D318" i="5"/>
  <c r="G329" i="5"/>
  <c r="D329" i="5"/>
  <c r="G328" i="5"/>
  <c r="D328" i="5"/>
  <c r="G327" i="5"/>
  <c r="D327" i="5"/>
  <c r="G326" i="5"/>
  <c r="D326" i="5"/>
  <c r="G325" i="5"/>
  <c r="D325" i="5"/>
  <c r="G324" i="5"/>
  <c r="D324" i="5"/>
  <c r="G323" i="5"/>
  <c r="D323" i="5"/>
  <c r="G322" i="5"/>
  <c r="D322" i="5"/>
  <c r="G321" i="5"/>
  <c r="D321" i="5"/>
  <c r="G320" i="5"/>
  <c r="D320" i="5"/>
  <c r="G319" i="5"/>
  <c r="D319" i="5"/>
  <c r="G316" i="5"/>
  <c r="D316" i="5"/>
  <c r="G317" i="5"/>
  <c r="D317" i="5"/>
  <c r="G314" i="5"/>
  <c r="D314" i="5"/>
  <c r="G315" i="5"/>
  <c r="D315" i="5"/>
  <c r="G313" i="5"/>
  <c r="D313" i="5"/>
  <c r="G312" i="5"/>
  <c r="D312" i="5"/>
  <c r="G311" i="5"/>
  <c r="D311" i="5"/>
  <c r="G310" i="5"/>
  <c r="D310" i="5"/>
  <c r="G309" i="5"/>
  <c r="D309" i="5"/>
  <c r="G308" i="5"/>
  <c r="D308" i="5"/>
  <c r="G307" i="5"/>
  <c r="D307" i="5"/>
  <c r="G306" i="5"/>
  <c r="D306" i="5"/>
  <c r="G305" i="5"/>
  <c r="D305" i="5"/>
  <c r="G304" i="5"/>
  <c r="D304" i="5"/>
  <c r="G303" i="5"/>
  <c r="D303" i="5"/>
  <c r="G302" i="5"/>
  <c r="D302" i="5"/>
  <c r="G301" i="5"/>
  <c r="D301" i="5"/>
  <c r="G300" i="5"/>
  <c r="D300" i="5"/>
  <c r="G299" i="5"/>
  <c r="D299" i="5"/>
  <c r="G298" i="5"/>
  <c r="D298" i="5"/>
  <c r="G297" i="5"/>
  <c r="D297" i="5"/>
  <c r="G296" i="5"/>
  <c r="D296" i="5"/>
  <c r="G295" i="5"/>
  <c r="D295" i="5"/>
  <c r="G294" i="5"/>
  <c r="D294" i="5"/>
  <c r="G293" i="5"/>
  <c r="D293" i="5"/>
  <c r="G292" i="5"/>
  <c r="D292" i="5"/>
  <c r="G291" i="5"/>
  <c r="D291" i="5"/>
  <c r="G290" i="5"/>
  <c r="D290" i="5"/>
  <c r="G289" i="5"/>
  <c r="D289" i="5"/>
  <c r="G288" i="5"/>
  <c r="D288" i="5"/>
  <c r="G287" i="5"/>
  <c r="D287" i="5"/>
  <c r="G286" i="5"/>
  <c r="D286" i="5"/>
  <c r="G285" i="5"/>
  <c r="D285" i="5"/>
  <c r="G284" i="5"/>
  <c r="D284" i="5"/>
  <c r="G272" i="5"/>
  <c r="D272" i="5"/>
  <c r="G283" i="5"/>
  <c r="D283" i="5"/>
  <c r="G282" i="5"/>
  <c r="D282" i="5"/>
  <c r="G281" i="5"/>
  <c r="D281" i="5"/>
  <c r="G280" i="5"/>
  <c r="D280" i="5"/>
  <c r="G279" i="5"/>
  <c r="D279" i="5"/>
  <c r="G278" i="5"/>
  <c r="D278" i="5"/>
  <c r="G277" i="5"/>
  <c r="D277" i="5"/>
  <c r="G276" i="5"/>
  <c r="D276" i="5"/>
  <c r="G275" i="5"/>
  <c r="D275" i="5"/>
  <c r="G274" i="5"/>
  <c r="D274" i="5"/>
  <c r="G273" i="5"/>
  <c r="D273" i="5"/>
  <c r="G270" i="5"/>
  <c r="D270" i="5"/>
  <c r="G271" i="5"/>
  <c r="D271" i="5"/>
  <c r="G269" i="5"/>
  <c r="D269" i="5"/>
  <c r="G268" i="5"/>
  <c r="D268" i="5"/>
  <c r="G267" i="5"/>
  <c r="D267" i="5"/>
  <c r="G266" i="5"/>
  <c r="D266" i="5"/>
  <c r="G265" i="5"/>
  <c r="D265" i="5"/>
  <c r="G264" i="5"/>
  <c r="D264" i="5"/>
  <c r="G263" i="5"/>
  <c r="D263" i="5"/>
  <c r="G262" i="5"/>
  <c r="D262" i="5"/>
  <c r="G261" i="5"/>
  <c r="D261" i="5"/>
  <c r="G260" i="5"/>
  <c r="D260" i="5"/>
  <c r="G259" i="5"/>
  <c r="D259" i="5"/>
  <c r="G258" i="5"/>
  <c r="D258" i="5"/>
  <c r="G257" i="5"/>
  <c r="D257" i="5"/>
  <c r="G256" i="5"/>
  <c r="D256" i="5"/>
  <c r="G255" i="5"/>
  <c r="D255" i="5"/>
  <c r="G254" i="5"/>
  <c r="D254" i="5"/>
  <c r="G253" i="5"/>
  <c r="D253" i="5"/>
  <c r="G252" i="5"/>
  <c r="D252" i="5"/>
  <c r="G251" i="5"/>
  <c r="D251" i="5"/>
  <c r="G250" i="5"/>
  <c r="D250" i="5"/>
  <c r="G249" i="5"/>
  <c r="D249" i="5"/>
  <c r="G248" i="5"/>
  <c r="D248" i="5"/>
  <c r="G247" i="5"/>
  <c r="D247" i="5"/>
  <c r="G246" i="5"/>
  <c r="D246" i="5"/>
  <c r="G245" i="5"/>
  <c r="D245" i="5"/>
  <c r="G244" i="5"/>
  <c r="D244" i="5"/>
  <c r="G243" i="5"/>
  <c r="D243" i="5"/>
  <c r="G242" i="5"/>
  <c r="D242" i="5"/>
  <c r="G241" i="5"/>
  <c r="D241" i="5"/>
  <c r="G240" i="5"/>
  <c r="D240" i="5"/>
  <c r="G239" i="5"/>
  <c r="D239" i="5"/>
  <c r="G238" i="5"/>
  <c r="D238" i="5"/>
  <c r="G237" i="5"/>
  <c r="D237" i="5"/>
  <c r="G236" i="5"/>
  <c r="D236" i="5"/>
  <c r="G235" i="5"/>
  <c r="D235" i="5"/>
  <c r="G234" i="5"/>
  <c r="D234" i="5"/>
  <c r="G233" i="5"/>
  <c r="D233" i="5"/>
  <c r="G232" i="5"/>
  <c r="D232" i="5"/>
  <c r="G231" i="5"/>
  <c r="D231" i="5"/>
  <c r="G230" i="5"/>
  <c r="D230" i="5"/>
  <c r="G229" i="5"/>
  <c r="D229" i="5"/>
  <c r="G228" i="5"/>
  <c r="D228" i="5"/>
  <c r="G227" i="5"/>
  <c r="D227" i="5"/>
  <c r="G226" i="5"/>
  <c r="D226" i="5"/>
  <c r="G225" i="5"/>
  <c r="D225" i="5"/>
  <c r="G224" i="5"/>
  <c r="D224" i="5"/>
  <c r="G223" i="5"/>
  <c r="D223" i="5"/>
  <c r="G222" i="5"/>
  <c r="D222" i="5"/>
  <c r="G221" i="5"/>
  <c r="D221" i="5"/>
  <c r="G220" i="5"/>
  <c r="D220" i="5"/>
  <c r="G219" i="5"/>
  <c r="D219" i="5"/>
  <c r="G218" i="5"/>
  <c r="D218" i="5"/>
  <c r="G217" i="5"/>
  <c r="D217" i="5"/>
  <c r="G216" i="5"/>
  <c r="D216" i="5"/>
  <c r="G215" i="5"/>
  <c r="D215" i="5"/>
  <c r="G214" i="5"/>
  <c r="D214" i="5"/>
  <c r="G213" i="5"/>
  <c r="D213" i="5"/>
  <c r="G212" i="5"/>
  <c r="D212" i="5"/>
  <c r="G211" i="5"/>
  <c r="D211" i="5"/>
  <c r="G210" i="5"/>
  <c r="D210" i="5"/>
  <c r="G209" i="5"/>
  <c r="D209" i="5"/>
  <c r="G208" i="5"/>
  <c r="D208" i="5"/>
  <c r="G207" i="5"/>
  <c r="D207" i="5"/>
  <c r="G206" i="5"/>
  <c r="D206" i="5"/>
  <c r="G205" i="5"/>
  <c r="D205" i="5"/>
  <c r="G204" i="5"/>
  <c r="D204" i="5"/>
  <c r="G203" i="5"/>
  <c r="D203" i="5"/>
  <c r="G202" i="5"/>
  <c r="D202" i="5"/>
  <c r="G201" i="5"/>
  <c r="D201" i="5"/>
  <c r="G200" i="5"/>
  <c r="D200" i="5"/>
  <c r="G199" i="5"/>
  <c r="D199" i="5"/>
  <c r="G198" i="5"/>
  <c r="D198" i="5"/>
  <c r="G197" i="5"/>
  <c r="D197" i="5"/>
  <c r="G196" i="5"/>
  <c r="D196" i="5"/>
  <c r="G195" i="5"/>
  <c r="D195" i="5"/>
  <c r="G194" i="5"/>
  <c r="D194" i="5"/>
  <c r="G192" i="5"/>
  <c r="D192" i="5"/>
  <c r="G191" i="5"/>
  <c r="D191" i="5"/>
  <c r="G190" i="5"/>
  <c r="D190" i="5"/>
  <c r="G189" i="5"/>
  <c r="D189" i="5"/>
  <c r="G188" i="5"/>
  <c r="D188" i="5"/>
  <c r="G187" i="5"/>
  <c r="D187" i="5"/>
  <c r="G186" i="5"/>
  <c r="D186" i="5"/>
  <c r="G185" i="5"/>
  <c r="D185" i="5"/>
  <c r="G184" i="5"/>
  <c r="D184" i="5"/>
  <c r="G183" i="5"/>
  <c r="D183" i="5"/>
  <c r="G182" i="5"/>
  <c r="D182" i="5"/>
  <c r="G181" i="5"/>
  <c r="D181" i="5"/>
  <c r="G180" i="5"/>
  <c r="D180" i="5"/>
  <c r="G179" i="5"/>
  <c r="D179" i="5"/>
  <c r="G178" i="5"/>
  <c r="D178" i="5"/>
  <c r="G177" i="5"/>
  <c r="D177" i="5"/>
  <c r="G176" i="5"/>
  <c r="D176" i="5"/>
  <c r="G175" i="5"/>
  <c r="D175" i="5"/>
  <c r="G174" i="5"/>
  <c r="D174" i="5"/>
  <c r="G173" i="5"/>
  <c r="D173" i="5"/>
  <c r="G172" i="5"/>
  <c r="D172" i="5"/>
  <c r="G171" i="5"/>
  <c r="D171" i="5"/>
  <c r="G170" i="5"/>
  <c r="D170" i="5"/>
  <c r="G169" i="5"/>
  <c r="D169" i="5"/>
  <c r="G168" i="5"/>
  <c r="D168" i="5"/>
  <c r="G167" i="5"/>
  <c r="D167" i="5"/>
  <c r="G166" i="5"/>
  <c r="D166" i="5"/>
  <c r="G165" i="5"/>
  <c r="D165" i="5"/>
  <c r="G164" i="5"/>
  <c r="D164" i="5"/>
  <c r="G163" i="5"/>
  <c r="D163" i="5"/>
  <c r="G162" i="5"/>
  <c r="D162" i="5"/>
  <c r="G161" i="5"/>
  <c r="D161" i="5"/>
  <c r="G160" i="5"/>
  <c r="D160" i="5"/>
  <c r="G159" i="5"/>
  <c r="D159" i="5"/>
  <c r="G158" i="5"/>
  <c r="D158" i="5"/>
  <c r="G157" i="5"/>
  <c r="D157" i="5"/>
  <c r="G156" i="5"/>
  <c r="D156" i="5"/>
  <c r="G155" i="5"/>
  <c r="D155" i="5"/>
  <c r="G154" i="5"/>
  <c r="D154" i="5"/>
  <c r="G153" i="5"/>
  <c r="D153" i="5"/>
  <c r="G152" i="5"/>
  <c r="D152" i="5"/>
  <c r="G151" i="5"/>
  <c r="D151" i="5"/>
  <c r="G150" i="5"/>
  <c r="D150" i="5"/>
  <c r="G149" i="5"/>
  <c r="D149" i="5"/>
  <c r="G148" i="5"/>
  <c r="D148" i="5"/>
  <c r="G147" i="5"/>
  <c r="D147" i="5"/>
  <c r="G146" i="5"/>
  <c r="D146" i="5"/>
  <c r="G143" i="5"/>
  <c r="D143" i="5"/>
  <c r="G145" i="5"/>
  <c r="D145" i="5"/>
  <c r="G144" i="5"/>
  <c r="D144" i="5"/>
  <c r="G193" i="5"/>
  <c r="D193" i="5"/>
  <c r="G142" i="5"/>
  <c r="D142" i="5"/>
  <c r="G141" i="5"/>
  <c r="D141" i="5"/>
  <c r="G140" i="5"/>
  <c r="D140" i="5"/>
  <c r="G139" i="5"/>
  <c r="D139" i="5"/>
  <c r="G138" i="5"/>
  <c r="D138" i="5"/>
  <c r="G137" i="5"/>
  <c r="D137" i="5"/>
  <c r="G136" i="5"/>
  <c r="D136" i="5"/>
  <c r="G135" i="5"/>
  <c r="D135" i="5"/>
  <c r="G134" i="5"/>
  <c r="D134" i="5"/>
  <c r="G133" i="5"/>
  <c r="D133" i="5"/>
  <c r="G132" i="5"/>
  <c r="D132" i="5"/>
  <c r="G131" i="5"/>
  <c r="D131" i="5"/>
  <c r="G130" i="5"/>
  <c r="D130" i="5"/>
  <c r="G129" i="5"/>
  <c r="D129" i="5"/>
  <c r="G128" i="5"/>
  <c r="D128" i="5"/>
  <c r="G127" i="5"/>
  <c r="D127" i="5"/>
  <c r="G126" i="5"/>
  <c r="D126" i="5"/>
  <c r="G125" i="5"/>
  <c r="D125" i="5"/>
  <c r="G124" i="5"/>
  <c r="D124" i="5"/>
  <c r="G123" i="5"/>
  <c r="D123" i="5"/>
  <c r="G122" i="5"/>
  <c r="D122" i="5"/>
  <c r="G121" i="5"/>
  <c r="D121" i="5"/>
  <c r="G120" i="5"/>
  <c r="D120" i="5"/>
  <c r="G119" i="5"/>
  <c r="D119" i="5"/>
  <c r="G118" i="5"/>
  <c r="D118" i="5"/>
  <c r="G117" i="5"/>
  <c r="D117" i="5"/>
  <c r="G116" i="5"/>
  <c r="D116" i="5"/>
  <c r="G115" i="5"/>
  <c r="D115" i="5"/>
  <c r="G114" i="5"/>
  <c r="D114" i="5"/>
  <c r="G113" i="5"/>
  <c r="D113" i="5"/>
  <c r="G112" i="5"/>
  <c r="D112" i="5"/>
  <c r="G111" i="5"/>
  <c r="D111" i="5"/>
  <c r="G110" i="5"/>
  <c r="D110" i="5"/>
  <c r="G109" i="5"/>
  <c r="D109" i="5"/>
  <c r="G108" i="5"/>
  <c r="D108" i="5"/>
  <c r="G107" i="5"/>
  <c r="D107" i="5"/>
  <c r="G106" i="5"/>
  <c r="D106" i="5"/>
  <c r="G105" i="5"/>
  <c r="D105" i="5"/>
  <c r="G104" i="5"/>
  <c r="D104" i="5"/>
  <c r="G103" i="5"/>
  <c r="D103" i="5"/>
  <c r="G102" i="5"/>
  <c r="D102" i="5"/>
  <c r="G101" i="5"/>
  <c r="D101" i="5"/>
  <c r="G100" i="5"/>
  <c r="D100" i="5"/>
  <c r="G99" i="5"/>
  <c r="D99" i="5"/>
  <c r="G98" i="5"/>
  <c r="D98" i="5"/>
  <c r="G97" i="5"/>
  <c r="D97" i="5"/>
  <c r="G96" i="5"/>
  <c r="D96" i="5"/>
  <c r="G95" i="5"/>
  <c r="D95" i="5"/>
  <c r="G94" i="5"/>
  <c r="D94" i="5"/>
  <c r="G93" i="5"/>
  <c r="D93" i="5"/>
  <c r="G92" i="5"/>
  <c r="D92" i="5"/>
  <c r="G91" i="5"/>
  <c r="D91" i="5"/>
  <c r="G90" i="5"/>
  <c r="D90" i="5"/>
  <c r="G89" i="5"/>
  <c r="D89" i="5"/>
  <c r="G88" i="5"/>
  <c r="D88" i="5"/>
  <c r="G87" i="5"/>
  <c r="D87" i="5"/>
  <c r="G86" i="5"/>
  <c r="D86" i="5"/>
  <c r="G85" i="5"/>
  <c r="D85" i="5"/>
  <c r="G84" i="5"/>
  <c r="D84" i="5"/>
  <c r="G83" i="5"/>
  <c r="D83" i="5"/>
  <c r="G82" i="5"/>
  <c r="D82" i="5"/>
  <c r="G81" i="5"/>
  <c r="D81" i="5"/>
  <c r="G80" i="5"/>
  <c r="D80" i="5"/>
  <c r="G79" i="5"/>
  <c r="D79" i="5"/>
  <c r="G78" i="5"/>
  <c r="D78" i="5"/>
  <c r="G77" i="5"/>
  <c r="D77" i="5"/>
  <c r="G76" i="5"/>
  <c r="D76" i="5"/>
  <c r="G75" i="5"/>
  <c r="D75" i="5"/>
  <c r="G74" i="5"/>
  <c r="D74" i="5"/>
  <c r="G73" i="5"/>
  <c r="D73" i="5"/>
  <c r="G72" i="5"/>
  <c r="D72" i="5"/>
  <c r="G71" i="5"/>
  <c r="D71" i="5"/>
  <c r="G70" i="5"/>
  <c r="D70" i="5"/>
  <c r="G69" i="5"/>
  <c r="D69" i="5"/>
  <c r="G68" i="5"/>
  <c r="D68" i="5"/>
  <c r="G67" i="5"/>
  <c r="D67" i="5"/>
  <c r="G66" i="5"/>
  <c r="D66" i="5"/>
  <c r="G65" i="5"/>
  <c r="D65" i="5"/>
  <c r="G64" i="5"/>
  <c r="D64" i="5"/>
  <c r="G63" i="5"/>
  <c r="D63" i="5"/>
  <c r="G62" i="5"/>
  <c r="D62" i="5"/>
  <c r="G61" i="5"/>
  <c r="D61" i="5"/>
  <c r="G60" i="5"/>
  <c r="D60" i="5"/>
  <c r="G59" i="5"/>
  <c r="D59" i="5"/>
  <c r="G58" i="5"/>
  <c r="D58" i="5"/>
  <c r="G57" i="5"/>
  <c r="D57" i="5"/>
  <c r="G56" i="5"/>
  <c r="D56" i="5"/>
  <c r="G55" i="5"/>
  <c r="D55" i="5"/>
  <c r="G54" i="5"/>
  <c r="D54" i="5"/>
  <c r="G53" i="5"/>
  <c r="D53" i="5"/>
  <c r="G52" i="5"/>
  <c r="D52" i="5"/>
  <c r="G51" i="5"/>
  <c r="D51" i="5"/>
  <c r="G50" i="5"/>
  <c r="D50" i="5"/>
  <c r="G49" i="5"/>
  <c r="D49" i="5"/>
  <c r="G48" i="5"/>
  <c r="D48" i="5"/>
  <c r="G47" i="5"/>
  <c r="D47" i="5"/>
  <c r="G46" i="5"/>
  <c r="D46" i="5"/>
  <c r="G45" i="5"/>
  <c r="D45" i="5"/>
  <c r="G44" i="5"/>
  <c r="D44" i="5"/>
  <c r="G43" i="5"/>
  <c r="D43" i="5"/>
  <c r="G42" i="5"/>
  <c r="D42" i="5"/>
  <c r="G41" i="5"/>
  <c r="D41" i="5"/>
  <c r="G40" i="5"/>
  <c r="D40" i="5"/>
  <c r="G39" i="5"/>
  <c r="D39" i="5"/>
  <c r="G38" i="5"/>
  <c r="D38" i="5"/>
  <c r="G37" i="5"/>
  <c r="D37" i="5"/>
  <c r="G36" i="5"/>
  <c r="D36" i="5"/>
  <c r="G35" i="5"/>
  <c r="D35" i="5"/>
  <c r="G34" i="5"/>
  <c r="D34" i="5"/>
  <c r="G33" i="5"/>
  <c r="D33" i="5"/>
  <c r="G32" i="5"/>
  <c r="D32" i="5"/>
  <c r="G31" i="5"/>
  <c r="D31" i="5"/>
  <c r="G30" i="5"/>
  <c r="D30" i="5"/>
  <c r="G29" i="5"/>
  <c r="D29" i="5"/>
  <c r="G28" i="5"/>
  <c r="D28" i="5"/>
  <c r="G27" i="5"/>
  <c r="D27" i="5"/>
  <c r="G26" i="5"/>
  <c r="D26" i="5"/>
  <c r="G25" i="5"/>
  <c r="D25" i="5"/>
  <c r="G24" i="5"/>
  <c r="D24" i="5"/>
  <c r="G23" i="5"/>
  <c r="D23" i="5"/>
  <c r="G22" i="5"/>
  <c r="D22" i="5"/>
  <c r="G21" i="5"/>
  <c r="D21" i="5"/>
  <c r="G20" i="5"/>
  <c r="D20" i="5"/>
  <c r="G19" i="5"/>
  <c r="D19" i="5"/>
  <c r="G18" i="5"/>
  <c r="D18" i="5"/>
  <c r="G17" i="5"/>
  <c r="D17" i="5"/>
  <c r="G16" i="5"/>
  <c r="D16" i="5"/>
  <c r="G15" i="5"/>
  <c r="D15" i="5"/>
  <c r="G14" i="5"/>
  <c r="D14" i="5"/>
  <c r="G13" i="5"/>
  <c r="D13" i="5"/>
  <c r="G12" i="5"/>
  <c r="D12" i="5"/>
  <c r="G11" i="5"/>
  <c r="D11" i="5"/>
  <c r="G10" i="5"/>
  <c r="D10" i="5"/>
  <c r="G9" i="5"/>
  <c r="D9" i="5"/>
  <c r="G8" i="5"/>
  <c r="D8" i="5"/>
  <c r="G7" i="5"/>
  <c r="D7" i="5"/>
  <c r="G6" i="5"/>
  <c r="D6" i="5"/>
  <c r="G5" i="5"/>
  <c r="D5" i="5"/>
  <c r="G4" i="5"/>
  <c r="D4" i="5"/>
  <c r="G3" i="5"/>
  <c r="D3" i="5"/>
  <c r="X42" i="7"/>
  <c r="T11" i="4" l="1"/>
  <c r="X20" i="7" l="1"/>
  <c r="R21" i="7" s="1"/>
  <c r="AC11" i="4" l="1"/>
  <c r="R20" i="7" l="1"/>
  <c r="R30" i="7" s="1"/>
  <c r="R29" i="7" l="1"/>
  <c r="N27" i="7" s="1"/>
  <c r="R22" i="7"/>
  <c r="D2" i="8" l="1"/>
  <c r="N30" i="7"/>
  <c r="E2" i="8" s="1"/>
  <c r="U24" i="7"/>
  <c r="G2" i="8" l="1"/>
  <c r="B13" i="8" s="1"/>
  <c r="R24" i="7"/>
  <c r="B10" i="8" l="1"/>
  <c r="B14" i="8"/>
  <c r="B21" i="8" s="1"/>
  <c r="U27" i="7"/>
  <c r="U33" i="7" s="1"/>
  <c r="U20" i="7" l="1"/>
  <c r="U22" i="7" l="1"/>
  <c r="G21" i="7" s="1"/>
  <c r="X22" i="7"/>
  <c r="X29" i="7" l="1"/>
  <c r="X27" i="7"/>
  <c r="X28" i="7" s="1"/>
  <c r="X24" i="7"/>
  <c r="R33" i="7"/>
  <c r="U30" i="7" s="1"/>
  <c r="U31" i="7" l="1"/>
  <c r="H30" i="7"/>
  <c r="R41" i="7"/>
  <c r="U32" i="7" l="1"/>
  <c r="R27" i="7"/>
  <c r="R26" i="7"/>
  <c r="X78" i="7"/>
  <c r="R28" i="7"/>
  <c r="X34" i="7" l="1"/>
  <c r="X41" i="7"/>
  <c r="X35" i="7"/>
  <c r="X30" i="7"/>
  <c r="I20" i="7"/>
  <c r="X72" i="7" l="1"/>
  <c r="B33" i="7" l="1"/>
  <c r="N34" i="7" l="1"/>
  <c r="P36" i="7" s="1"/>
  <c r="J36" i="7" l="1"/>
  <c r="X38" i="7"/>
  <c r="X39" i="7" s="1"/>
  <c r="R39" i="7" s="1"/>
  <c r="A36" i="7" l="1"/>
  <c r="G38" i="7"/>
  <c r="X43" i="7" l="1"/>
  <c r="X45" i="7" s="1"/>
  <c r="X40" i="7"/>
  <c r="N43" i="7" l="1"/>
  <c r="U43" i="7" s="1"/>
  <c r="G43" i="7" s="1"/>
  <c r="N48" i="7" l="1"/>
  <c r="X47" i="7"/>
  <c r="P45" i="7" s="1"/>
  <c r="B48" i="7" l="1"/>
  <c r="B5" i="8"/>
  <c r="A45" i="7"/>
  <c r="P48" i="7"/>
  <c r="B45" i="7"/>
  <c r="B17" i="8" l="1"/>
  <c r="U45" i="7"/>
  <c r="X50" i="7" s="1"/>
  <c r="J48" i="7" s="1"/>
  <c r="U51" i="7" l="1"/>
  <c r="X53" i="7" s="1"/>
  <c r="G45" i="7"/>
  <c r="P70" i="7"/>
  <c r="J70" i="7" s="1"/>
  <c r="H54" i="7" l="1"/>
  <c r="U71" i="7"/>
  <c r="X66" i="7" l="1"/>
  <c r="G63" i="7" s="1"/>
  <c r="N63" i="7" s="1"/>
  <c r="X61" i="7"/>
  <c r="R63" i="7"/>
  <c r="H51" i="7"/>
  <c r="H52" i="7"/>
  <c r="H53" i="7"/>
  <c r="X60" i="7"/>
  <c r="N58" i="7" s="1"/>
  <c r="B11" i="8" s="1"/>
  <c r="P58" i="7" l="1"/>
  <c r="J58" i="7" s="1"/>
  <c r="N65" i="7"/>
  <c r="O65" i="7" s="1"/>
  <c r="X69" i="7"/>
  <c r="P67" i="7" s="1"/>
  <c r="N59" i="7"/>
  <c r="N66" i="7"/>
  <c r="B58" i="7"/>
  <c r="P59" i="7" l="1"/>
  <c r="J59" i="7" s="1"/>
  <c r="B12" i="8"/>
  <c r="B19" i="8" s="1"/>
  <c r="B20" i="8"/>
  <c r="B59" i="7"/>
  <c r="B18" i="8"/>
  <c r="J67" i="7"/>
  <c r="P73" i="7" l="1"/>
  <c r="B22" i="8" s="1"/>
  <c r="B27" i="8" s="1" a="1"/>
  <c r="B27" i="8" s="1"/>
  <c r="J73" i="7" l="1"/>
  <c r="X75" i="7"/>
  <c r="A82" i="7" s="1"/>
  <c r="A79" i="7" l="1"/>
  <c r="A81" i="7"/>
  <c r="A78" i="7"/>
  <c r="A80" i="7"/>
  <c r="A85" i="7"/>
  <c r="A83" i="7"/>
  <c r="A8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Giles Blower</author>
  </authors>
  <commentList>
    <comment ref="I2" authorId="0" shapeId="0" xr:uid="{B216FDE7-0711-44E5-A78A-FD53AE835F87}">
      <text>
        <r>
          <rPr>
            <b/>
            <sz val="9"/>
            <color indexed="81"/>
            <rFont val="Tahoma"/>
            <family val="2"/>
          </rPr>
          <t>Giles Blower:</t>
        </r>
        <r>
          <rPr>
            <sz val="9"/>
            <color indexed="81"/>
            <rFont val="Tahoma"/>
            <family val="2"/>
          </rPr>
          <t xml:space="preserve">
</t>
        </r>
        <r>
          <rPr>
            <b/>
            <sz val="9"/>
            <color indexed="81"/>
            <rFont val="Tahoma"/>
            <family val="2"/>
          </rPr>
          <t xml:space="preserve">Sleep-in rate for 25/26 kept at 24/25 rate for all providers - paid for a 9 hour shift delivery or 63 hours a week.s - </t>
        </r>
      </text>
    </comment>
    <comment ref="I23" authorId="0" shapeId="0" xr:uid="{A55AC127-BD8E-473B-AEC9-B1148B7A3E4C}">
      <text>
        <r>
          <rPr>
            <b/>
            <sz val="9"/>
            <color indexed="81"/>
            <rFont val="Tahoma"/>
            <family val="2"/>
          </rPr>
          <t>Giles Blower:</t>
        </r>
        <r>
          <rPr>
            <sz val="9"/>
            <color indexed="81"/>
            <rFont val="Tahoma"/>
            <family val="2"/>
          </rPr>
          <t xml:space="preserve">
Eden has a reduced rate for their standard supported living as they only provide 8 hours of support.</t>
        </r>
      </text>
    </comment>
    <comment ref="I63" authorId="0" shapeId="0" xr:uid="{B12DF854-14AD-485C-BBD4-495EAD0F8532}">
      <text>
        <r>
          <rPr>
            <b/>
            <sz val="9"/>
            <color indexed="81"/>
            <rFont val="Tahoma"/>
            <family val="2"/>
          </rPr>
          <t>Giles Blower:</t>
        </r>
        <r>
          <rPr>
            <sz val="9"/>
            <color indexed="81"/>
            <rFont val="Tahoma"/>
            <family val="2"/>
          </rPr>
          <t xml:space="preserve">
Use the same colour - I've just taken the row colour away so that the new provider stands out.</t>
        </r>
      </text>
    </comment>
    <comment ref="I74" authorId="0" shapeId="0" xr:uid="{4E4F8D65-BBB8-4EC8-B3EE-36B6F6520418}">
      <text>
        <r>
          <rPr>
            <b/>
            <sz val="9"/>
            <color indexed="81"/>
            <rFont val="Tahoma"/>
            <family val="2"/>
          </rPr>
          <t>Giles Blower:</t>
        </r>
        <r>
          <rPr>
            <sz val="9"/>
            <color indexed="81"/>
            <rFont val="Tahoma"/>
            <family val="2"/>
          </rPr>
          <t xml:space="preserve">
Eden has a reduced rate for their standard supported living as they only provide 8 hours of support.</t>
        </r>
      </text>
    </comment>
    <comment ref="I213" authorId="0" shapeId="0" xr:uid="{EE9198C4-F861-4207-AF6F-4778227FACD9}">
      <text>
        <r>
          <rPr>
            <b/>
            <sz val="9"/>
            <color indexed="81"/>
            <rFont val="Tahoma"/>
            <family val="2"/>
          </rPr>
          <t>Giles Blower:</t>
        </r>
        <r>
          <rPr>
            <sz val="9"/>
            <color indexed="81"/>
            <rFont val="Tahoma"/>
            <family val="2"/>
          </rPr>
          <t xml:space="preserve">
Eden has a reduced rate for their standard supported living as they only provide 8 hours of support.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<sst xmlns="http://schemas.openxmlformats.org/spreadsheetml/2006/main" count="2137" uniqueCount="383">
  <si>
    <t>Care, Support and Enablement Calculator</t>
  </si>
  <si>
    <t>Team:</t>
  </si>
  <si>
    <t xml:space="preserve">What type of support is being provided? </t>
  </si>
  <si>
    <t>Hourly Rate to be applied:</t>
  </si>
  <si>
    <t>Is there a sleep in at the service?</t>
  </si>
  <si>
    <t>Yes</t>
  </si>
  <si>
    <t>No</t>
  </si>
  <si>
    <t>Supported Living</t>
  </si>
  <si>
    <t>Outreach</t>
  </si>
  <si>
    <t>Blue Sky</t>
  </si>
  <si>
    <t>Choice Support</t>
  </si>
  <si>
    <t>CIC</t>
  </si>
  <si>
    <t>Fitzroy</t>
  </si>
  <si>
    <t>Future Homecare</t>
  </si>
  <si>
    <t>Lifeways</t>
  </si>
  <si>
    <t>NCHA</t>
  </si>
  <si>
    <t>Thera</t>
  </si>
  <si>
    <t>United Response</t>
  </si>
  <si>
    <t>Voyage</t>
  </si>
  <si>
    <t>Supported Living Plus</t>
  </si>
  <si>
    <t>Additional Weekly Costs:</t>
  </si>
  <si>
    <t>Cost per Week</t>
  </si>
  <si>
    <t>Cost of Contribution to Sleep-In Costs</t>
  </si>
  <si>
    <t>Overridden Cost per Week</t>
  </si>
  <si>
    <t>Teams</t>
  </si>
  <si>
    <t>Dropdown - what type of support?</t>
  </si>
  <si>
    <t>YesNo</t>
  </si>
  <si>
    <t>Support Type</t>
  </si>
  <si>
    <t>Provider</t>
  </si>
  <si>
    <t>Additional Weekly Costs</t>
  </si>
  <si>
    <t>Sun Healthcare</t>
  </si>
  <si>
    <t>Mencap Ex Partnership Home</t>
  </si>
  <si>
    <t>Perthyn - with TUPE</t>
  </si>
  <si>
    <t>Change Date Entered Check</t>
  </si>
  <si>
    <t>Lookup Providers</t>
  </si>
  <si>
    <t>Perthyn - without Tupe</t>
  </si>
  <si>
    <t>Additional</t>
  </si>
  <si>
    <t>OnetoOneHours</t>
  </si>
  <si>
    <t>SleepIn</t>
  </si>
  <si>
    <t>Support Package Summary</t>
  </si>
  <si>
    <t>Package</t>
  </si>
  <si>
    <t>Cost of Contribution to Shared Daytime Hours</t>
  </si>
  <si>
    <r>
      <rPr>
        <b/>
        <u/>
        <sz val="11"/>
        <color theme="1"/>
        <rFont val="Arial"/>
        <family val="2"/>
      </rPr>
      <t>Total</t>
    </r>
    <r>
      <rPr>
        <b/>
        <sz val="11"/>
        <color theme="1"/>
        <rFont val="Arial"/>
        <family val="2"/>
      </rPr>
      <t xml:space="preserve"> No. of Shared </t>
    </r>
    <r>
      <rPr>
        <b/>
        <u/>
        <sz val="11"/>
        <color theme="1"/>
        <rFont val="Arial"/>
        <family val="2"/>
      </rPr>
      <t>Daytime Hours</t>
    </r>
    <r>
      <rPr>
        <b/>
        <sz val="11"/>
        <color theme="1"/>
        <rFont val="Arial"/>
        <family val="2"/>
      </rPr>
      <t xml:space="preserve"> at the Service </t>
    </r>
  </si>
  <si>
    <t>Shared Hours Contributions:</t>
  </si>
  <si>
    <t>SharedDaytimeContr</t>
  </si>
  <si>
    <t>SharedWakingNightsContr</t>
  </si>
  <si>
    <t>Lookup Type</t>
  </si>
  <si>
    <r>
      <t>(enter any narrative about Additional Weekly Costs to the box</t>
    </r>
    <r>
      <rPr>
        <b/>
        <sz val="8"/>
        <color theme="1"/>
        <rFont val="Arial"/>
        <family val="2"/>
      </rPr>
      <t xml:space="preserve"> at the top of the sheet.</t>
    </r>
    <r>
      <rPr>
        <sz val="8"/>
        <color theme="1"/>
        <rFont val="Arial"/>
        <family val="2"/>
      </rPr>
      <t>)</t>
    </r>
  </si>
  <si>
    <r>
      <t xml:space="preserve">Individual </t>
    </r>
    <r>
      <rPr>
        <b/>
        <u/>
        <sz val="11"/>
        <color theme="1"/>
        <rFont val="Arial"/>
        <family val="2"/>
      </rPr>
      <t>Contribution</t>
    </r>
    <r>
      <rPr>
        <b/>
        <sz val="11"/>
        <color theme="1"/>
        <rFont val="Arial"/>
        <family val="2"/>
      </rPr>
      <t xml:space="preserve"> to the Shared </t>
    </r>
    <r>
      <rPr>
        <b/>
        <u/>
        <sz val="11"/>
        <color theme="1"/>
        <rFont val="Arial"/>
        <family val="2"/>
      </rPr>
      <t xml:space="preserve">Daytime </t>
    </r>
    <r>
      <rPr>
        <b/>
        <sz val="11"/>
        <color theme="1"/>
        <rFont val="Arial"/>
        <family val="2"/>
      </rPr>
      <t>Hours</t>
    </r>
  </si>
  <si>
    <r>
      <t xml:space="preserve">Number of </t>
    </r>
    <r>
      <rPr>
        <b/>
        <u/>
        <sz val="11"/>
        <color theme="1"/>
        <rFont val="Arial"/>
        <family val="2"/>
      </rPr>
      <t>People</t>
    </r>
    <r>
      <rPr>
        <b/>
        <sz val="11"/>
        <color theme="1"/>
        <rFont val="Arial"/>
        <family val="2"/>
      </rPr>
      <t xml:space="preserve"> Sharing Daytime Hours</t>
    </r>
  </si>
  <si>
    <t>Effective Date or Date Package Changes</t>
  </si>
  <si>
    <t>Shared Hours - Total for this Service</t>
  </si>
  <si>
    <t>Waking Night Hours Label</t>
  </si>
  <si>
    <t>Overridden Cost Narrative</t>
  </si>
  <si>
    <t>Mencap (Rushcliffe) - Royal Mencap Society</t>
  </si>
  <si>
    <t>Mencap (Worksop) - Royal Mencap Society</t>
  </si>
  <si>
    <t>Mencap Nottm- Gener8</t>
  </si>
  <si>
    <t>Mencap Ex Partnership Homes - Royal Mencap Society</t>
  </si>
  <si>
    <t>Perthyn - no TUPE</t>
  </si>
  <si>
    <t>Total Sleep-In Cost per Week per Worker</t>
  </si>
  <si>
    <t>JRH Support (Nottingham)</t>
  </si>
  <si>
    <t>Future Home Care Campus - no TUPE</t>
  </si>
  <si>
    <t>CCT Community Enablement Team</t>
  </si>
  <si>
    <t>Fosse Healthcare (CSE)</t>
  </si>
  <si>
    <t>Sanctuary - Corner House Supported Living</t>
  </si>
  <si>
    <t>Sleep-In Cost per Night</t>
  </si>
  <si>
    <t>Sleep-in Cost per Week</t>
  </si>
  <si>
    <t>Enter the date that the person first moved into the property and/or first received this service from this provider</t>
  </si>
  <si>
    <t>How many Sleep-in Workers per night provide the sleep-in support?</t>
  </si>
  <si>
    <t>Person's Mosaic ID:</t>
  </si>
  <si>
    <r>
      <t xml:space="preserve">If yes, how many people share the sleep?
</t>
    </r>
    <r>
      <rPr>
        <b/>
        <sz val="8"/>
        <color theme="1"/>
        <rFont val="Arial"/>
        <family val="2"/>
      </rPr>
      <t>(including the person on this form)</t>
    </r>
  </si>
  <si>
    <t>Please add this summary to the person's support plan in Mosaic</t>
  </si>
  <si>
    <r>
      <rPr>
        <b/>
        <u/>
        <sz val="11"/>
        <color theme="1"/>
        <rFont val="Arial"/>
        <family val="2"/>
      </rPr>
      <t>Total</t>
    </r>
    <r>
      <rPr>
        <b/>
        <sz val="11"/>
        <color theme="1"/>
        <rFont val="Arial"/>
        <family val="2"/>
      </rPr>
      <t xml:space="preserve"> No. of </t>
    </r>
    <r>
      <rPr>
        <b/>
        <u/>
        <sz val="11"/>
        <color theme="1"/>
        <rFont val="Arial"/>
        <family val="2"/>
      </rPr>
      <t>Waking Night Hours</t>
    </r>
    <r>
      <rPr>
        <b/>
        <sz val="11"/>
        <color theme="1"/>
        <rFont val="Arial"/>
        <family val="2"/>
      </rPr>
      <t xml:space="preserve"> at the Service </t>
    </r>
  </si>
  <si>
    <r>
      <t xml:space="preserve">Number of </t>
    </r>
    <r>
      <rPr>
        <b/>
        <u/>
        <sz val="11"/>
        <color theme="1"/>
        <rFont val="Arial"/>
        <family val="2"/>
      </rPr>
      <t>People</t>
    </r>
    <r>
      <rPr>
        <b/>
        <sz val="11"/>
        <color theme="1"/>
        <rFont val="Arial"/>
        <family val="2"/>
      </rPr>
      <t xml:space="preserve"> Sharing or Receiving Waking Night Hours</t>
    </r>
  </si>
  <si>
    <r>
      <t xml:space="preserve">Individual </t>
    </r>
    <r>
      <rPr>
        <b/>
        <u/>
        <sz val="11"/>
        <color theme="1"/>
        <rFont val="Arial"/>
        <family val="2"/>
      </rPr>
      <t>Contribution</t>
    </r>
    <r>
      <rPr>
        <b/>
        <sz val="11"/>
        <color theme="1"/>
        <rFont val="Arial"/>
        <family val="2"/>
      </rPr>
      <t xml:space="preserve"> to the Shared (or Single) </t>
    </r>
    <r>
      <rPr>
        <b/>
        <u/>
        <sz val="11"/>
        <color theme="1"/>
        <rFont val="Arial"/>
        <family val="2"/>
      </rPr>
      <t xml:space="preserve">Waking Night </t>
    </r>
    <r>
      <rPr>
        <b/>
        <sz val="11"/>
        <color theme="1"/>
        <rFont val="Arial"/>
        <family val="2"/>
      </rPr>
      <t>Hours</t>
    </r>
  </si>
  <si>
    <t>Cost of Contribution to Shared (or Single) Waking Night Hours</t>
  </si>
  <si>
    <t>Preparing for Adulthood Team</t>
  </si>
  <si>
    <t>Reach Learning Disability Care (CiC)</t>
  </si>
  <si>
    <t>Roselea Care Homes (CSE) Paid at CSE STANDARD CONTRACT Max rate for Supp Lvg.</t>
  </si>
  <si>
    <r>
      <t>Other Details / Comments (</t>
    </r>
    <r>
      <rPr>
        <b/>
        <sz val="10"/>
        <color theme="1"/>
        <rFont val="Arial"/>
        <family val="2"/>
      </rPr>
      <t>If commissioning a temporary increase please ensure you state the end date for the increase</t>
    </r>
    <r>
      <rPr>
        <b/>
        <sz val="14"/>
        <color theme="1"/>
        <rFont val="Arial"/>
        <family val="2"/>
      </rPr>
      <t>)</t>
    </r>
  </si>
  <si>
    <t>Total Cost to NCC of the Package Per Week</t>
  </si>
  <si>
    <t>Health Funding Dropdown</t>
  </si>
  <si>
    <t>Net cost of 1:1 Hours to be funded by NCC</t>
  </si>
  <si>
    <t>Total Cost of 1:1 Hours</t>
  </si>
  <si>
    <t>Health Hours Check</t>
  </si>
  <si>
    <t xml:space="preserve">Name of the person receiving the service:  </t>
  </si>
  <si>
    <t xml:space="preserve">   </t>
  </si>
  <si>
    <t>Retrieve Hourly Rate</t>
  </si>
  <si>
    <t>Check Data has been Entered Correctly</t>
  </si>
  <si>
    <t xml:space="preserve">Dropdowns / Lookup </t>
  </si>
  <si>
    <t>Lookup Range for Provider</t>
  </si>
  <si>
    <t>Activate: Effective Date or Date Package Changes</t>
  </si>
  <si>
    <t xml:space="preserve">Activate: What type of support is being provided? </t>
  </si>
  <si>
    <t>Activate: Number of Hours 1:1 to be funded by Health:</t>
  </si>
  <si>
    <t>Activate: individual contribution to Shared Daytime hrs</t>
  </si>
  <si>
    <t>Activate: individual contribution to Waking Night hrs</t>
  </si>
  <si>
    <t>Cost of Contribution to Shared Daytime Hours Calc</t>
  </si>
  <si>
    <t>Cost of Contribution to Shared Waking Night Hours Calc</t>
  </si>
  <si>
    <t>Sleep-In Dropdown</t>
  </si>
  <si>
    <t>Activate: Total Shared Hours and Sleep-in cells</t>
  </si>
  <si>
    <t>Activate: Sleep-in Workers per night</t>
  </si>
  <si>
    <t>No. of People Sharing Sleep Calc</t>
  </si>
  <si>
    <t>Cost of Contribution to Sleep-in Costs Calc</t>
  </si>
  <si>
    <t>Activate: Additional costs</t>
  </si>
  <si>
    <t>Additional Wkly Costs Calc</t>
  </si>
  <si>
    <t>Total Cost of 1:1 hrs calc</t>
  </si>
  <si>
    <t>Net Hours funded by NCC Calc</t>
  </si>
  <si>
    <t>Activate: People Sharing Sleep</t>
  </si>
  <si>
    <t>Total Cost per Wk Calc</t>
  </si>
  <si>
    <t>Activate: Total Number of 1:1 Hours per Week:</t>
  </si>
  <si>
    <t>No.of Sleep-in Shifts Calc</t>
  </si>
  <si>
    <t>Health Contribution Check</t>
  </si>
  <si>
    <t>ICB</t>
  </si>
  <si>
    <t>ICB Dropdown</t>
  </si>
  <si>
    <t>Net Number of 1:1 Hours to be funded by NCC:</t>
  </si>
  <si>
    <r>
      <t xml:space="preserve">Number of 1:1 Hours to be paid by the ICB (Health) </t>
    </r>
    <r>
      <rPr>
        <b/>
        <u/>
        <sz val="11"/>
        <color theme="0"/>
        <rFont val="Arial"/>
        <family val="2"/>
      </rPr>
      <t xml:space="preserve">DIRECTLY </t>
    </r>
    <r>
      <rPr>
        <b/>
        <sz val="11"/>
        <color theme="0"/>
        <rFont val="Arial"/>
        <family val="2"/>
      </rPr>
      <t>to the provider:</t>
    </r>
  </si>
  <si>
    <t>Contribution from ICB</t>
  </si>
  <si>
    <r>
      <t xml:space="preserve">Which ICB will be paying </t>
    </r>
    <r>
      <rPr>
        <b/>
        <u/>
        <sz val="11"/>
        <color theme="0"/>
        <rFont val="Arial"/>
        <family val="2"/>
      </rPr>
      <t>DIRECTLY</t>
    </r>
    <r>
      <rPr>
        <b/>
        <sz val="11"/>
        <color theme="0"/>
        <rFont val="Arial"/>
        <family val="2"/>
      </rPr>
      <t xml:space="preserve"> towards this package?</t>
    </r>
  </si>
  <si>
    <t>EMH Care &amp; Support Ltd</t>
  </si>
  <si>
    <t>Space Inclusive</t>
  </si>
  <si>
    <t>Wellgate Support Ltd</t>
  </si>
  <si>
    <t>Landermeads (CSE)</t>
  </si>
  <si>
    <t>Turning Point (CSE)</t>
  </si>
  <si>
    <t>Mid Notts ICB</t>
  </si>
  <si>
    <t>South Notts ICB</t>
  </si>
  <si>
    <t>North Notts (Bassetlaw) ICB</t>
  </si>
  <si>
    <t>Activate: Total Cost of Contribution from ICB</t>
  </si>
  <si>
    <t>Net Cost of One to One Hours to NCC Calc</t>
  </si>
  <si>
    <t>Individual Contribution to the Shared Daytime Hours Calc</t>
  </si>
  <si>
    <t>Individual Contribution to the Shared (or Single) Waking Night Hours Calc</t>
  </si>
  <si>
    <t>Original Start Date Entered OK</t>
  </si>
  <si>
    <t>Provider Entered /Support Type Check</t>
  </si>
  <si>
    <t>Activate:Net Number of 1:1 Hours / Net cost of 1:1 Hours to be funded by NCC</t>
  </si>
  <si>
    <t>Health Hrs and Contribution entered correctly</t>
  </si>
  <si>
    <t>Activate/deactivate cells due to Override</t>
  </si>
  <si>
    <t>ICB Funded Hours</t>
  </si>
  <si>
    <t>Is this a Standard or Non-Standard Rate?</t>
  </si>
  <si>
    <t>Standard / Non-Standard</t>
  </si>
  <si>
    <t>Dropdown - Standard / Non-Standard</t>
  </si>
  <si>
    <t>Activate Standard Hourly Rate</t>
  </si>
  <si>
    <t>Enter Hourly Rate</t>
  </si>
  <si>
    <t>Activate Non-Standard Hourly Rate</t>
  </si>
  <si>
    <t>Hourly Rate</t>
  </si>
  <si>
    <t>Activate: Standard/NonStandard</t>
  </si>
  <si>
    <t>Activate: Standard Provider?</t>
  </si>
  <si>
    <t>Activate: Non-Standard Provider?</t>
  </si>
  <si>
    <t>Standard Rate</t>
  </si>
  <si>
    <t>Non-Standard Rate</t>
  </si>
  <si>
    <t>Select Provider</t>
  </si>
  <si>
    <t>Provider for Summary</t>
  </si>
  <si>
    <t>Sleep-in Cost Per Worker</t>
  </si>
  <si>
    <t>Enter Sleep-in Cost per Worker per Week</t>
  </si>
  <si>
    <t>Comments/Rational for rate.</t>
  </si>
  <si>
    <t>Activate: Description</t>
  </si>
  <si>
    <t>Package Rates Range</t>
  </si>
  <si>
    <t>Legacy</t>
  </si>
  <si>
    <t>Current</t>
  </si>
  <si>
    <t>Description</t>
  </si>
  <si>
    <t>Description Lookup</t>
  </si>
  <si>
    <t>NoYes</t>
  </si>
  <si>
    <t>Figures used in Calculations or Final Description Text</t>
  </si>
  <si>
    <t>Figures used for Final Total Cost</t>
  </si>
  <si>
    <t>All Details Correct</t>
  </si>
  <si>
    <t>Aspirations Care Ltd</t>
  </si>
  <si>
    <t>Historic Outreach capped at £23.30</t>
  </si>
  <si>
    <t>Historic Outreach higher rate frozen at £23.80</t>
  </si>
  <si>
    <t>Eden Supported Living Ltd</t>
  </si>
  <si>
    <t>Historic Legacy Outreach rate frozen at £23.35</t>
  </si>
  <si>
    <t>Real Life Options</t>
  </si>
  <si>
    <t>Historic Supp Lvg capped at £23.30</t>
  </si>
  <si>
    <t>Historic Supp Lvg Plus frozen at £25.59</t>
  </si>
  <si>
    <t>Historic Legacy Supp Lvg Plus frozen at £24.44</t>
  </si>
  <si>
    <t>Historic Legacy Supp Lvg Plus without Tupe Frozen at £24.30</t>
  </si>
  <si>
    <t>Historic Legacy Supp Lvg Plus with TUPE frozen at £22.21</t>
  </si>
  <si>
    <t>Legacy Outreach Capped at 23.30</t>
  </si>
  <si>
    <t xml:space="preserve">Legacy Outreach Higher rate frozen at £23.80 </t>
  </si>
  <si>
    <t>Legacy Supp Lvg capped at £23.30</t>
  </si>
  <si>
    <t>Legacy Supp Lvg Plus frozen at £25.59</t>
  </si>
  <si>
    <t>Legacy Supp Lvg Plus frozen at £24.44</t>
  </si>
  <si>
    <t>Legacy Supp Lvg Plus with TUPE frozen at £22.21</t>
  </si>
  <si>
    <t>Legacy Supp Lvg Plus without Tupe Frozen at £24.44</t>
  </si>
  <si>
    <t>Legacy CSE Day Care 1:1 Supp capped at £23.30</t>
  </si>
  <si>
    <t>Acclaim Care Agency Ltd</t>
  </si>
  <si>
    <t>Current Non accmmdtn based Supp Lvg (formerly Outreach &amp; CSE Day Care 1:1)</t>
  </si>
  <si>
    <t>Achieve Together Ltd</t>
  </si>
  <si>
    <t>All 4 Health Ltd</t>
  </si>
  <si>
    <t>Alpha Health &amp; Social Care Services Ltd</t>
  </si>
  <si>
    <t>Ant and Bex Lodgings Ltd</t>
  </si>
  <si>
    <t>Archangel Enterprises Ltd</t>
  </si>
  <si>
    <t>Autism East Midlands</t>
  </si>
  <si>
    <t>Axis Recruitment Ltd</t>
  </si>
  <si>
    <t>Break Barriers (Nottingham) Ltd</t>
  </si>
  <si>
    <t>Care Sante London</t>
  </si>
  <si>
    <t>Collective Care &amp; Support Ltd</t>
  </si>
  <si>
    <t>Collens Healthcare Ltd</t>
  </si>
  <si>
    <t>Commit2Care Services Ltd</t>
  </si>
  <si>
    <t>Depax Ltd</t>
  </si>
  <si>
    <t>Desla Care Agency Ltd</t>
  </si>
  <si>
    <t>Errand Plus &amp; Personal Services Business</t>
  </si>
  <si>
    <t>Fredas Care Ltd</t>
  </si>
  <si>
    <t>Gemini Exclusive Care</t>
  </si>
  <si>
    <t>Global Support &amp; Care Ltd</t>
  </si>
  <si>
    <t>GP Homecare Ltd t/a Radis Community Care</t>
  </si>
  <si>
    <t>GSS Healthcare Ltd</t>
  </si>
  <si>
    <t>Hearts at Home Homecare Ltd</t>
  </si>
  <si>
    <t>Heathcotes (BDT)</t>
  </si>
  <si>
    <t>Jes Care Services Ltd</t>
  </si>
  <si>
    <t>Keys PCE Ltd</t>
  </si>
  <si>
    <t>Kingswell Support Service Ltd</t>
  </si>
  <si>
    <t>Kome Care (Management)</t>
  </si>
  <si>
    <t>Living Well Social Care Ltd</t>
  </si>
  <si>
    <t>Lyriq Healthcare Ltd</t>
  </si>
  <si>
    <t>Mencap (Ex Partnership Home) - Royal Mencap Society</t>
  </si>
  <si>
    <t>Midco Care Ltd</t>
  </si>
  <si>
    <t>Nardus Healthcare</t>
  </si>
  <si>
    <t>Perthyn (EMT)</t>
  </si>
  <si>
    <t>Potens</t>
  </si>
  <si>
    <t>Protea Care Homes</t>
  </si>
  <si>
    <t>Quality Care (EM)</t>
  </si>
  <si>
    <t>Safe Sanctuary Living Ltd</t>
  </si>
  <si>
    <t>Sentricare East Midlands Ltd</t>
  </si>
  <si>
    <t>Servis Personal Ltd</t>
  </si>
  <si>
    <t>The Silver Ark Healthcare Ltd</t>
  </si>
  <si>
    <t>Turning Point Services Ltd (CSE)</t>
  </si>
  <si>
    <t>Warwickshire Living Ltd</t>
  </si>
  <si>
    <t>Current Accommodation based supp lvng &amp; Lot 3</t>
  </si>
  <si>
    <r>
      <t>Current Accommodation based supp lvng</t>
    </r>
    <r>
      <rPr>
        <b/>
        <sz val="11"/>
        <color theme="1"/>
        <rFont val="Calibri"/>
        <family val="2"/>
        <scheme val="minor"/>
      </rPr>
      <t xml:space="preserve"> BUT</t>
    </r>
    <r>
      <rPr>
        <sz val="10"/>
        <color theme="1"/>
        <rFont val="Arial"/>
        <family val="2"/>
      </rPr>
      <t xml:space="preserve"> NO Lot 3</t>
    </r>
  </si>
  <si>
    <t>Perthyn</t>
  </si>
  <si>
    <t>Ace Care 4 U Ltd</t>
  </si>
  <si>
    <t>Bespoke Health &amp; Social Care</t>
  </si>
  <si>
    <t>Craegmoor Supporting You Ltd</t>
  </si>
  <si>
    <t>Current New Service provided under Lot 4</t>
  </si>
  <si>
    <t>Turning Point</t>
  </si>
  <si>
    <t>Determine if Service is Accomm-Based</t>
  </si>
  <si>
    <t>Lookup - Determine if Service is Accomm-Based</t>
  </si>
  <si>
    <t>LegacyOutreach</t>
  </si>
  <si>
    <t>LegacySupported Living</t>
  </si>
  <si>
    <t>LegacySupported Living Plus</t>
  </si>
  <si>
    <t>Activate Description</t>
  </si>
  <si>
    <t>Supported Living with accommodation</t>
  </si>
  <si>
    <t>Current Supp Lvg Plus Provider Non Accommodation based support &amp; Lot 3</t>
  </si>
  <si>
    <r>
      <t xml:space="preserve">Current Supp Lvg Plus provider NON accommodation based support </t>
    </r>
    <r>
      <rPr>
        <b/>
        <sz val="11"/>
        <color theme="1"/>
        <rFont val="Calibri"/>
        <family val="2"/>
        <scheme val="minor"/>
      </rPr>
      <t>BU</t>
    </r>
    <r>
      <rPr>
        <sz val="10"/>
        <color theme="1"/>
        <rFont val="Arial"/>
        <family val="2"/>
      </rPr>
      <t>T NO Lot 3</t>
    </r>
  </si>
  <si>
    <t>Supported Living Plus with accommodation</t>
  </si>
  <si>
    <t>Current Supp Lvg Plus Provider Accommodation based support &amp; Lot 3</t>
  </si>
  <si>
    <t>Current Supp Lvg Plus provider NON accommodation based support BUT NO Lot 3</t>
  </si>
  <si>
    <t>Community Network</t>
  </si>
  <si>
    <t>Legacy before 10/04/2017 
Current from 10/04/17 until 03/09/2025
After 04/09/2025</t>
  </si>
  <si>
    <t>After 4th Sept 2025</t>
  </si>
  <si>
    <t>After</t>
  </si>
  <si>
    <t>CSE Day Care 1 to 1 support</t>
  </si>
  <si>
    <t>Historic before 10/04/2017</t>
  </si>
  <si>
    <t>Legacy After 10/04/2017 to 03/09/2025</t>
  </si>
  <si>
    <t>Current after 04/09/2025</t>
  </si>
  <si>
    <t>Description Title</t>
  </si>
  <si>
    <t>Accommodation based service that began BEFORE 10th April 2017</t>
  </si>
  <si>
    <t>CurrentOutreach</t>
  </si>
  <si>
    <t>CurrentCSE Day Care 1 to 1 support</t>
  </si>
  <si>
    <t>CurrentSupported Living Plus</t>
  </si>
  <si>
    <t>AfterCommunity Network</t>
  </si>
  <si>
    <t>Activate: Date Message</t>
  </si>
  <si>
    <t>Conditional Formatting / Activate Cell / Textbox</t>
  </si>
  <si>
    <t>Date of Change for this CSE Calculator</t>
  </si>
  <si>
    <t>Provider List</t>
  </si>
  <si>
    <t>Legacy_Outreach_Providers</t>
  </si>
  <si>
    <t>Legacy_Supported_Living_Providers</t>
  </si>
  <si>
    <t>Current_Outreach_Providers</t>
  </si>
  <si>
    <t>Current_CSE_Day_Care</t>
  </si>
  <si>
    <t>Current_Supported_Living_Providers</t>
  </si>
  <si>
    <t>After_Community_Network_Providers</t>
  </si>
  <si>
    <t>After_Supported_Living_Without_Accomm_Providers</t>
  </si>
  <si>
    <t>After_Supported_Living_Plus_Without_Accomm_Providers</t>
  </si>
  <si>
    <t>After_Supported_Living_Plus_With_Accomm_Providers</t>
  </si>
  <si>
    <t>AfterSupported Living WITH accommodation</t>
  </si>
  <si>
    <t>Supported Living Plus WITHOUT accommodation</t>
  </si>
  <si>
    <t>Supported Living Plus WITH accommodation</t>
  </si>
  <si>
    <t>Supported Living WITH accommodation</t>
  </si>
  <si>
    <t>After_Supported_Living_WITH_Accomm__Providers</t>
  </si>
  <si>
    <t>AfterSupported Living Plus WITHOUT accommodation</t>
  </si>
  <si>
    <t>AfterSupported Living Plus WITH accommodation</t>
  </si>
  <si>
    <t>Enhanced support that began BEFORE 10th April 2017</t>
  </si>
  <si>
    <t>Future Home Care</t>
  </si>
  <si>
    <t>Text in Package Start Textbox</t>
  </si>
  <si>
    <t>Text in Package Description Textbox</t>
  </si>
  <si>
    <t>ACCOMM based Supported Living. A package that provides support delivered in specially acquired supported living accommodation that began ON or AFTER 4th Sept 2025.</t>
  </si>
  <si>
    <t>NON ACCOMM based Supported Living plus which has enhanced support that can be delivered in the person's OWN HOME  or their carer's OR 1:1 support delivered in a regulated DAY SERVICE or supervised formal setting that began ON or AFTER 4th Sept 2025.</t>
  </si>
  <si>
    <t>ACCOMM based Supported Living for people with complex needs. A package that provides support delivered in specially acquired supported living accommodation that began ON or AFTER 4th Sept 2025.</t>
  </si>
  <si>
    <t>Legacy_Supported_Living_Plus_Providers</t>
  </si>
  <si>
    <t>CurrentSupported Living</t>
  </si>
  <si>
    <t>Current_Supported_Living_Plus_Providers</t>
  </si>
  <si>
    <t>Support Type and Provider within Correct Date Range</t>
  </si>
  <si>
    <t>Support Type Entered?</t>
  </si>
  <si>
    <t>Activate Subsequent Calculations</t>
  </si>
  <si>
    <t>Health Funding Message</t>
  </si>
  <si>
    <t>Activate: Health Funding Message</t>
  </si>
  <si>
    <t>Enter Provider (Non-Standard)</t>
  </si>
  <si>
    <t>Activate: Which ICB and ICB Funded Hours?</t>
  </si>
  <si>
    <t>Text - Total</t>
  </si>
  <si>
    <t>Text - 1:1 Daytime Support Hrs</t>
  </si>
  <si>
    <t>Specific Text Dependent on ICB Funding Yes/No:</t>
  </si>
  <si>
    <t>Activate ICB Calculations</t>
  </si>
  <si>
    <t>Version of Calculator</t>
  </si>
  <si>
    <t>Locked/
Unlocked</t>
  </si>
  <si>
    <t>Locked</t>
  </si>
  <si>
    <t>Unlocked</t>
  </si>
  <si>
    <t>Activate question: Does this Package receive funding from Health?</t>
  </si>
  <si>
    <t>Check Support Type is within Correct Date Range</t>
  </si>
  <si>
    <t>Effective Date or Date Package Changes Error Messages</t>
  </si>
  <si>
    <t>Error-Change Date</t>
  </si>
  <si>
    <t>Date of package change is before the new rates were implemented from 7th April 2025.  A different CSE Calculator is required. Contact csesupport@nottscc.gov.uk for the correct version to use</t>
  </si>
  <si>
    <t>Error-Start Date</t>
  </si>
  <si>
    <t>Date when person moved in does NOT match the support type. Either change the date person moved in/began to receive service OR select a different support type</t>
  </si>
  <si>
    <t>Ashfield Social Work Community Team</t>
  </si>
  <si>
    <t>Bassetlaw Social Work Community Team</t>
  </si>
  <si>
    <t>Broxtowe Social Work Community Team</t>
  </si>
  <si>
    <t>Gedling Social Work Community Team</t>
  </si>
  <si>
    <t>Mansfield Social Work Community Team</t>
  </si>
  <si>
    <t>Newark &amp; Shrwd Social Work Community Team</t>
  </si>
  <si>
    <t>Rushcliffe Social Work Community Team</t>
  </si>
  <si>
    <t>Transforming Lives Team</t>
  </si>
  <si>
    <t>ADVIS</t>
  </si>
  <si>
    <t>Continue to complete this CSE calculator with NCC paying all the costs and complete an ACM33 to obtain Health’s contributions.</t>
  </si>
  <si>
    <t>IF HEALTH ARE PAYING THEIR SHARE DIRECTLY TO THE PROVIDER – DO NOT complete this CSE calculator. Instead contact csesupport@nottscc.gov.uk and request a bespoke health funding direct to the CSE provider version of the CSE calculator</t>
  </si>
  <si>
    <t xml:space="preserve">Supported package provided in the person’s own home or their carer’s and/or to facilitate access to the community that began BEFORE 10th April 2017 </t>
  </si>
  <si>
    <r>
      <t xml:space="preserve">Supported package provided in the person’s own home or their carer’s </t>
    </r>
    <r>
      <rPr>
        <b/>
        <sz val="11"/>
        <color rgb="FFFF0000"/>
        <rFont val="Aptos"/>
        <family val="2"/>
      </rPr>
      <t>and/or</t>
    </r>
    <r>
      <rPr>
        <sz val="11"/>
        <color rgb="FFFF0000"/>
        <rFont val="Aptos"/>
        <family val="2"/>
      </rPr>
      <t xml:space="preserve"> </t>
    </r>
    <r>
      <rPr>
        <sz val="11"/>
        <color theme="1"/>
        <rFont val="Aptos"/>
        <family val="2"/>
      </rPr>
      <t xml:space="preserve">to facilitate access to the community that began BETWEEN 10th April 2017 to 3rd September 2025. </t>
    </r>
  </si>
  <si>
    <t>CSE daycare package that BETWEEN10th April 2017 to 3rd September 2025</t>
  </si>
  <si>
    <t>Accommodation based service that began BETWEEN 10th April 2017 to 3rd September 2025</t>
  </si>
  <si>
    <t>Enhanced support that began BETWEEN 10th April 2017 to 3rd September 2025</t>
  </si>
  <si>
    <r>
      <t xml:space="preserve">Health Funding: 
</t>
    </r>
    <r>
      <rPr>
        <b/>
        <sz val="10"/>
        <color theme="0"/>
        <rFont val="Arial"/>
        <family val="2"/>
      </rPr>
      <t xml:space="preserve">Does this Package receive funding from Health which the relevant ICB WILL PAY </t>
    </r>
    <r>
      <rPr>
        <b/>
        <u/>
        <sz val="10"/>
        <color theme="0"/>
        <rFont val="Arial"/>
        <family val="2"/>
      </rPr>
      <t>DIRECTLY</t>
    </r>
    <r>
      <rPr>
        <b/>
        <sz val="10"/>
        <color theme="0"/>
        <rFont val="Arial"/>
        <family val="2"/>
      </rPr>
      <t xml:space="preserve"> TO THE PROVIDER?</t>
    </r>
  </si>
  <si>
    <t>Name of Social Work Community Team/NCC worker:</t>
  </si>
  <si>
    <t xml:space="preserve">Roselea Care Homes (CSE) </t>
  </si>
  <si>
    <t>Consensus Community Support Ltd</t>
  </si>
  <si>
    <t>change name from Grove Care Partnership Ltd to Consensus Community Support Ltd</t>
  </si>
  <si>
    <t>AOC Homecare (t/a Angel Oak Care)</t>
  </si>
  <si>
    <t>Previously missed off CSE Calculator please insert now into this services</t>
  </si>
  <si>
    <t xml:space="preserve">Valley Care Direct Ltd (t/a Care Sante London) </t>
  </si>
  <si>
    <t>Change the name from Care Sante London to Valley Care Direct Ltd</t>
  </si>
  <si>
    <t xml:space="preserve">Exceed Support Services </t>
  </si>
  <si>
    <t>Festygreat Divers Enterprise Ltd(t/a Festygreat Healthcare)</t>
  </si>
  <si>
    <t xml:space="preserve">Change name to Festygreat Divers Enterprise (t/a Festygreat Health Care) </t>
  </si>
  <si>
    <t>MyHomecareNottingham</t>
  </si>
  <si>
    <t xml:space="preserve">Principle Support </t>
  </si>
  <si>
    <t xml:space="preserve">Potens </t>
  </si>
  <si>
    <t xml:space="preserve">Eden Supported Living </t>
  </si>
  <si>
    <t>Midway Care Group</t>
  </si>
  <si>
    <t xml:space="preserve">Perthyn </t>
  </si>
  <si>
    <t>Current New Service provided under Lot 4 can provide this service as CQC is not required.</t>
  </si>
  <si>
    <t xml:space="preserve">Nottingham Autism Support Service </t>
  </si>
  <si>
    <t>Supported Living Plus without Accommodation</t>
  </si>
  <si>
    <t>Formerly Outreach and CSE Day Care 1:1 support. NON ACCOMM based Supported Living, providing support in the person's OWN HOME  or their carer's that OR 1:1 support delivered in a regulated DAY SERVICE or supervised formal setting that began ON or AFTER 4th Sept 2025.</t>
  </si>
  <si>
    <t>Supported Living WITHOUT accommodation</t>
  </si>
  <si>
    <t>AfterSupported living WITHOUT accommodation</t>
  </si>
  <si>
    <t>Basic details entered check (Standard Rate)</t>
  </si>
  <si>
    <t>Basic details entered check (Non - Standard Rate)</t>
  </si>
  <si>
    <t xml:space="preserve">Consensus Community Support Ltd </t>
  </si>
  <si>
    <t>Date Person Moved in</t>
  </si>
  <si>
    <t>Date of Package Change</t>
  </si>
  <si>
    <t>Package Type Entered</t>
  </si>
  <si>
    <t>Provider Entered</t>
  </si>
  <si>
    <t>Types of Support</t>
  </si>
  <si>
    <t>Package Details</t>
  </si>
  <si>
    <t>OnetoOneHours Details</t>
  </si>
  <si>
    <t>SharedDaytimeContr Details</t>
  </si>
  <si>
    <t>SharedWakingNightsContr Details</t>
  </si>
  <si>
    <t>SleepIn Details</t>
  </si>
  <si>
    <t>Additional Details</t>
  </si>
  <si>
    <t>Total Text</t>
  </si>
  <si>
    <t xml:space="preserve">Actual Text in Description </t>
  </si>
  <si>
    <t>Cell</t>
  </si>
  <si>
    <t>Text in Cell</t>
  </si>
  <si>
    <t>CSE Calc Cell A80</t>
  </si>
  <si>
    <t>CSE Calc Cell A81</t>
  </si>
  <si>
    <t>CSE Calc Cell A82</t>
  </si>
  <si>
    <t>CSE Calc Cell A83</t>
  </si>
  <si>
    <t>CSE Calc Cell A84</t>
  </si>
  <si>
    <t>CSE Calc Cell A85</t>
  </si>
  <si>
    <t>Accomm/Community</t>
  </si>
  <si>
    <t>Shared Hours / No Shared Hours</t>
  </si>
  <si>
    <t>No Shared Hours</t>
  </si>
  <si>
    <t>Shared Hours</t>
  </si>
  <si>
    <t>Current hourly rate from April 2025</t>
  </si>
  <si>
    <t>New hourly rate from 6th April 2026</t>
  </si>
  <si>
    <t>New CSE Standard rates for Legacy, and Current packages for Outreach, Supported Living, Supported Living Plus and CSE Day Care 1:1 support from 6th of April 2026 and for New Providers under the 4th Sept 2025 framework with the new service descriptions of Supported Living, Supported Living with accommodation, Supported Living Plus, Supported Living Plus with accommodation and Community Networks. New current rates for shared daytime and shared waking night for Supported living and Supported living plus apply to Voids as well.(17th March 2026 version)</t>
  </si>
  <si>
    <t>6th April 2026 version of the Intranet CSE Calculator (vrs 1.0 updated 19/03/2026)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</si>
</sst>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quot;£&quot;#,##0.00"/>
  </numFmts>
  <fonts count="51" x14ac:knownFonts="1">
    <font>
      <sz val="10"/>
      <color theme="1"/>
      <name val="Arial"/>
      <family val="2"/>
    </font>
    <font>
      <b/>
      <sz val="10"/>
      <color theme="1"/>
      <name val="Arial"/>
      <family val="2"/>
    </font>
    <font>
      <sz val="12"/>
      <color theme="1"/>
      <name val="Arial"/>
      <family val="2"/>
    </font>
    <font>
      <b/>
      <sz val="11"/>
      <color theme="1"/>
      <name val="Arial"/>
      <family val="2"/>
    </font>
    <font>
      <b/>
      <sz val="12"/>
      <color theme="1"/>
      <name val="Arial"/>
      <family val="2"/>
    </font>
    <font>
      <sz val="8"/>
      <color theme="1"/>
      <name val="Arial"/>
      <family val="2"/>
    </font>
    <font>
      <b/>
      <sz val="8"/>
      <color theme="1"/>
      <name val="Arial"/>
      <family val="2"/>
    </font>
    <font>
      <sz val="12"/>
      <color theme="1"/>
      <name val="Calibri"/>
      <family val="2"/>
    </font>
    <font>
      <sz val="10"/>
      <color theme="1"/>
      <name val="Calibri"/>
      <family val="2"/>
    </font>
    <font>
      <sz val="12"/>
      <color theme="0"/>
      <name val="Arial"/>
      <family val="2"/>
    </font>
    <font>
      <b/>
      <sz val="9"/>
      <color theme="1"/>
      <name val="Arial"/>
      <family val="2"/>
    </font>
    <font>
      <b/>
      <sz val="10"/>
      <color rgb="FFFF0000"/>
      <name val="Arial"/>
      <family val="2"/>
    </font>
    <font>
      <b/>
      <sz val="20"/>
      <color theme="1"/>
      <name val="Arial"/>
      <family val="2"/>
    </font>
    <font>
      <sz val="8"/>
      <color theme="1"/>
      <name val="Calibri"/>
      <family val="2"/>
    </font>
    <font>
      <b/>
      <u/>
      <sz val="11"/>
      <color theme="1"/>
      <name val="Arial"/>
      <family val="2"/>
    </font>
    <font>
      <b/>
      <sz val="12"/>
      <color rgb="FFFF0000"/>
      <name val="Arial"/>
      <family val="2"/>
    </font>
    <font>
      <b/>
      <sz val="10"/>
      <color theme="1"/>
      <name val="Calibri"/>
      <family val="2"/>
    </font>
    <font>
      <b/>
      <sz val="12"/>
      <color theme="0"/>
      <name val="Arial"/>
      <family val="2"/>
    </font>
    <font>
      <sz val="10"/>
      <color theme="1"/>
      <name val="Calibri"/>
      <family val="2"/>
      <scheme val="minor"/>
    </font>
    <font>
      <b/>
      <sz val="14"/>
      <color theme="1"/>
      <name val="Arial"/>
      <family val="2"/>
    </font>
    <font>
      <sz val="8"/>
      <name val="Arial"/>
      <family val="2"/>
    </font>
    <font>
      <sz val="8"/>
      <color theme="1"/>
      <name val="Calibri"/>
      <family val="2"/>
      <scheme val="minor"/>
    </font>
    <font>
      <sz val="10"/>
      <color theme="0"/>
      <name val="Arial"/>
      <family val="2"/>
    </font>
    <font>
      <sz val="11"/>
      <color theme="0"/>
      <name val="Arial"/>
      <family val="2"/>
    </font>
    <font>
      <b/>
      <sz val="11"/>
      <color theme="0"/>
      <name val="Arial"/>
      <family val="2"/>
    </font>
    <font>
      <sz val="10"/>
      <color theme="1"/>
      <name val="Arial"/>
      <family val="2"/>
    </font>
    <font>
      <b/>
      <sz val="9"/>
      <color rgb="FFFF0000"/>
      <name val="Arial"/>
      <family val="2"/>
    </font>
    <font>
      <b/>
      <sz val="9"/>
      <color theme="1"/>
      <name val="Calibri"/>
      <family val="2"/>
    </font>
    <font>
      <sz val="11"/>
      <color theme="1"/>
      <name val="Calibri"/>
      <family val="2"/>
    </font>
    <font>
      <sz val="9"/>
      <color theme="1"/>
      <name val="Calibri"/>
      <family val="2"/>
    </font>
    <font>
      <sz val="12"/>
      <color theme="0"/>
      <name val="Calibri"/>
      <family val="2"/>
    </font>
    <font>
      <b/>
      <sz val="10"/>
      <color theme="0"/>
      <name val="Arial"/>
      <family val="2"/>
    </font>
    <font>
      <b/>
      <u/>
      <sz val="11"/>
      <color theme="0"/>
      <name val="Arial"/>
      <family val="2"/>
    </font>
    <font>
      <b/>
      <sz val="9"/>
      <color indexed="81"/>
      <name val="Tahoma"/>
      <family val="2"/>
    </font>
    <font>
      <sz val="9"/>
      <color indexed="81"/>
      <name val="Tahoma"/>
      <family val="2"/>
    </font>
    <font>
      <sz val="14"/>
      <color theme="0"/>
      <name val="Arial"/>
      <family val="2"/>
    </font>
    <font>
      <b/>
      <sz val="12"/>
      <name val="Arial"/>
      <family val="2"/>
    </font>
    <font>
      <b/>
      <u/>
      <sz val="10"/>
      <color theme="0"/>
      <name val="Arial"/>
      <family val="2"/>
    </font>
    <font>
      <b/>
      <sz val="11"/>
      <color theme="0"/>
      <name val="Calibri"/>
      <family val="2"/>
      <scheme val="minor"/>
    </font>
    <font>
      <b/>
      <sz val="11"/>
      <color theme="1"/>
      <name val="Calibri"/>
      <family val="2"/>
      <scheme val="minor"/>
    </font>
    <font>
      <b/>
      <sz val="14"/>
      <color theme="1"/>
      <name val="Calibri"/>
      <family val="2"/>
      <scheme val="minor"/>
    </font>
    <font>
      <b/>
      <sz val="8"/>
      <color theme="1"/>
      <name val="Calibri"/>
      <family val="2"/>
    </font>
    <font>
      <b/>
      <sz val="12"/>
      <color theme="1"/>
      <name val="Calibri"/>
      <family val="2"/>
    </font>
    <font>
      <sz val="11"/>
      <color theme="1"/>
      <name val="Aptos"/>
      <family val="2"/>
    </font>
    <font>
      <b/>
      <sz val="11"/>
      <color rgb="FFFF0000"/>
      <name val="Aptos"/>
      <family val="2"/>
    </font>
    <font>
      <sz val="11"/>
      <color rgb="FFFF0000"/>
      <name val="Aptos"/>
      <family val="2"/>
    </font>
    <font>
      <b/>
      <sz val="11"/>
      <name val="Calibri"/>
      <family val="2"/>
      <scheme val="minor"/>
    </font>
    <font>
      <b/>
      <sz val="11"/>
      <color rgb="FFFFFF00"/>
      <name val="Calibri"/>
      <family val="2"/>
      <scheme val="minor"/>
    </font>
    <font>
      <sz val="11"/>
      <color rgb="FFFFFF00"/>
      <name val="Calibri"/>
      <family val="2"/>
      <scheme val="minor"/>
    </font>
    <font>
      <b/>
      <sz val="10"/>
      <color rgb="FFFFFF00"/>
      <name val="Arial"/>
      <family val="2"/>
    </font>
    <font>
      <sz val="9"/>
      <color theme="1"/>
      <name val="Arial"/>
      <family val="2"/>
    </font>
  </fonts>
  <fills count="19">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rgb="FFC6E6A2"/>
        <bgColor indexed="64"/>
      </patternFill>
    </fill>
    <fill>
      <patternFill patternType="solid">
        <fgColor rgb="FFFFE181"/>
        <bgColor indexed="64"/>
      </patternFill>
    </fill>
    <fill>
      <patternFill patternType="solid">
        <fgColor rgb="FFFFA3A3"/>
        <bgColor indexed="64"/>
      </patternFill>
    </fill>
    <fill>
      <patternFill patternType="solid">
        <fgColor rgb="FF71FFB1"/>
        <bgColor indexed="64"/>
      </patternFill>
    </fill>
    <fill>
      <patternFill patternType="solid">
        <fgColor rgb="FFF7C5A3"/>
        <bgColor indexed="64"/>
      </patternFill>
    </fill>
    <fill>
      <patternFill patternType="solid">
        <fgColor rgb="FFFF6D6D"/>
        <bgColor indexed="64"/>
      </patternFill>
    </fill>
    <fill>
      <patternFill patternType="solid">
        <fgColor rgb="FFFFFF00"/>
        <bgColor indexed="64"/>
      </patternFill>
    </fill>
    <fill>
      <patternFill patternType="solid">
        <fgColor rgb="FFFFC0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33CC"/>
        <bgColor indexed="64"/>
      </patternFill>
    </fill>
    <fill>
      <patternFill patternType="solid">
        <fgColor rgb="FF00B0F0"/>
        <bgColor indexed="64"/>
      </patternFill>
    </fill>
    <fill>
      <patternFill patternType="solid">
        <fgColor rgb="FF0000FF"/>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365">
    <xf numFmtId="0" fontId="0" fillId="0" borderId="0" xfId="0"/>
    <xf numFmtId="0" fontId="0" fillId="0" borderId="1" xfId="0" applyBorder="1"/>
    <xf numFmtId="2" fontId="9" fillId="4" borderId="1" xfId="0" applyNumberFormat="1" applyFont="1" applyFill="1" applyBorder="1" applyAlignment="1" applyProtection="1">
      <alignment vertical="center"/>
      <protection locked="0"/>
    </xf>
    <xf numFmtId="0" fontId="0" fillId="0" borderId="4" xfId="0" applyBorder="1"/>
    <xf numFmtId="0" fontId="0" fillId="0" borderId="4" xfId="0" applyBorder="1" applyAlignment="1">
      <alignment vertical="center" wrapText="1"/>
    </xf>
    <xf numFmtId="0" fontId="1" fillId="0" borderId="1" xfId="0" applyFont="1" applyBorder="1" applyAlignment="1">
      <alignment vertical="center" wrapText="1"/>
    </xf>
    <xf numFmtId="0" fontId="0" fillId="6" borderId="1" xfId="0" applyFill="1" applyBorder="1"/>
    <xf numFmtId="164" fontId="0" fillId="6" borderId="1" xfId="0" applyNumberFormat="1" applyFill="1" applyBorder="1"/>
    <xf numFmtId="0" fontId="0" fillId="7" borderId="1" xfId="0" applyFill="1" applyBorder="1"/>
    <xf numFmtId="164" fontId="0" fillId="7" borderId="1" xfId="0" applyNumberFormat="1" applyFill="1" applyBorder="1"/>
    <xf numFmtId="0" fontId="0" fillId="8" borderId="1" xfId="0" applyFill="1" applyBorder="1"/>
    <xf numFmtId="164" fontId="0" fillId="8" borderId="1" xfId="0" applyNumberFormat="1" applyFill="1" applyBorder="1"/>
    <xf numFmtId="0" fontId="0" fillId="9" borderId="1" xfId="0" applyFill="1" applyBorder="1"/>
    <xf numFmtId="164" fontId="0" fillId="9" borderId="1" xfId="0" applyNumberFormat="1" applyFill="1" applyBorder="1"/>
    <xf numFmtId="0" fontId="0" fillId="10" borderId="1" xfId="0" applyFill="1" applyBorder="1"/>
    <xf numFmtId="164" fontId="0" fillId="10" borderId="1" xfId="0" applyNumberFormat="1" applyFill="1" applyBorder="1"/>
    <xf numFmtId="0" fontId="0" fillId="11" borderId="1" xfId="0" applyFill="1" applyBorder="1"/>
    <xf numFmtId="164" fontId="0" fillId="11" borderId="1" xfId="0" applyNumberFormat="1" applyFill="1" applyBorder="1"/>
    <xf numFmtId="0" fontId="1" fillId="0" borderId="1" xfId="0" applyFont="1" applyBorder="1" applyAlignment="1">
      <alignment horizontal="center" vertical="center"/>
    </xf>
    <xf numFmtId="0" fontId="0" fillId="0" borderId="1" xfId="0" applyBorder="1" applyAlignment="1">
      <alignment wrapText="1"/>
    </xf>
    <xf numFmtId="0" fontId="1" fillId="0" borderId="1" xfId="0" applyFont="1" applyBorder="1"/>
    <xf numFmtId="0" fontId="0" fillId="0" borderId="2" xfId="0" applyBorder="1"/>
    <xf numFmtId="0" fontId="0" fillId="0" borderId="1" xfId="0" quotePrefix="1" applyBorder="1"/>
    <xf numFmtId="0" fontId="0" fillId="0" borderId="11" xfId="0" applyBorder="1"/>
    <xf numFmtId="0" fontId="0" fillId="7" borderId="1" xfId="0" applyFill="1" applyBorder="1" applyAlignment="1">
      <alignment vertical="center"/>
    </xf>
    <xf numFmtId="164" fontId="0" fillId="0" borderId="0" xfId="0" applyNumberFormat="1"/>
    <xf numFmtId="0" fontId="0" fillId="12" borderId="1" xfId="0" applyFill="1" applyBorder="1"/>
    <xf numFmtId="164" fontId="0" fillId="12" borderId="1" xfId="0" applyNumberFormat="1" applyFill="1" applyBorder="1"/>
    <xf numFmtId="0" fontId="1" fillId="0" borderId="20" xfId="0" applyFont="1" applyBorder="1" applyAlignment="1">
      <alignment vertical="center" wrapText="1"/>
    </xf>
    <xf numFmtId="0" fontId="1" fillId="0" borderId="0" xfId="0" applyFont="1" applyAlignment="1">
      <alignment vertical="center" wrapText="1"/>
    </xf>
    <xf numFmtId="164" fontId="25" fillId="7" borderId="1" xfId="0" applyNumberFormat="1" applyFont="1" applyFill="1" applyBorder="1"/>
    <xf numFmtId="164" fontId="25" fillId="6" borderId="1" xfId="0" applyNumberFormat="1" applyFont="1" applyFill="1" applyBorder="1"/>
    <xf numFmtId="164" fontId="25" fillId="8" borderId="1" xfId="0" applyNumberFormat="1" applyFont="1" applyFill="1" applyBorder="1"/>
    <xf numFmtId="1" fontId="9" fillId="4" borderId="1" xfId="0" applyNumberFormat="1" applyFont="1" applyFill="1" applyBorder="1" applyAlignment="1" applyProtection="1">
      <alignment vertical="center"/>
      <protection locked="0"/>
    </xf>
    <xf numFmtId="0" fontId="0" fillId="0" borderId="3" xfId="0" applyBorder="1"/>
    <xf numFmtId="0" fontId="4" fillId="0" borderId="0" xfId="0" applyFont="1" applyAlignment="1">
      <alignment horizontal="center" wrapText="1"/>
    </xf>
    <xf numFmtId="0" fontId="18" fillId="0" borderId="0" xfId="0" applyFont="1"/>
    <xf numFmtId="0" fontId="8" fillId="0" borderId="0" xfId="0" applyFont="1"/>
    <xf numFmtId="0" fontId="7" fillId="0" borderId="0" xfId="0" applyFont="1"/>
    <xf numFmtId="0" fontId="2" fillId="0" borderId="0" xfId="0" applyFont="1"/>
    <xf numFmtId="0" fontId="4" fillId="0" borderId="0" xfId="0" applyFont="1" applyAlignment="1">
      <alignment horizontal="right"/>
    </xf>
    <xf numFmtId="0" fontId="2" fillId="0" borderId="0" xfId="0" applyFont="1" applyAlignment="1">
      <alignment horizontal="center"/>
    </xf>
    <xf numFmtId="0" fontId="16" fillId="0" borderId="0" xfId="0" applyFont="1" applyAlignment="1">
      <alignment horizontal="center"/>
    </xf>
    <xf numFmtId="0" fontId="1" fillId="0" borderId="0" xfId="0" applyFont="1" applyAlignment="1">
      <alignment horizontal="right"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13" fillId="0" borderId="1" xfId="0" applyFont="1" applyBorder="1" applyAlignment="1">
      <alignment vertical="center" wrapText="1"/>
    </xf>
    <xf numFmtId="0" fontId="13" fillId="0" borderId="0" xfId="0" applyFont="1" applyAlignment="1">
      <alignment wrapText="1"/>
    </xf>
    <xf numFmtId="0" fontId="4" fillId="0" borderId="0" xfId="0" applyFont="1" applyAlignment="1">
      <alignment horizontal="right" vertical="center"/>
    </xf>
    <xf numFmtId="0" fontId="3" fillId="0" borderId="0" xfId="0" applyFont="1" applyAlignment="1">
      <alignment horizontal="right" vertical="center"/>
    </xf>
    <xf numFmtId="0" fontId="13" fillId="0" borderId="1" xfId="0" applyFont="1" applyBorder="1" applyAlignment="1">
      <alignment horizontal="right" vertical="center" wrapText="1"/>
    </xf>
    <xf numFmtId="0" fontId="8" fillId="0" borderId="1" xfId="0" quotePrefix="1" applyFont="1" applyBorder="1" applyAlignment="1">
      <alignment vertical="center" wrapText="1"/>
    </xf>
    <xf numFmtId="0" fontId="8" fillId="0" borderId="1" xfId="0" applyFont="1" applyBorder="1"/>
    <xf numFmtId="0" fontId="8" fillId="0" borderId="1" xfId="0" applyFont="1" applyBorder="1" applyAlignment="1">
      <alignment horizontal="right" vertical="center" wrapText="1"/>
    </xf>
    <xf numFmtId="0" fontId="15" fillId="0" borderId="0" xfId="0" applyFont="1" applyAlignment="1">
      <alignment wrapText="1"/>
    </xf>
    <xf numFmtId="0" fontId="8" fillId="0" borderId="0" xfId="0" applyFont="1" applyAlignment="1">
      <alignment vertical="center"/>
    </xf>
    <xf numFmtId="0" fontId="4" fillId="0" borderId="0" xfId="0" applyFont="1" applyAlignment="1">
      <alignment wrapText="1"/>
    </xf>
    <xf numFmtId="0" fontId="13" fillId="0" borderId="1" xfId="0" applyFont="1" applyBorder="1" applyAlignment="1">
      <alignment horizontal="right"/>
    </xf>
    <xf numFmtId="0" fontId="0" fillId="0" borderId="0" xfId="0" quotePrefix="1"/>
    <xf numFmtId="0" fontId="16" fillId="0" borderId="0" xfId="0" applyFont="1"/>
    <xf numFmtId="164" fontId="8" fillId="0" borderId="1" xfId="0" applyNumberFormat="1" applyFont="1" applyBorder="1" applyAlignment="1">
      <alignment vertical="center"/>
    </xf>
    <xf numFmtId="0" fontId="7" fillId="0" borderId="1" xfId="0" applyFont="1" applyBorder="1"/>
    <xf numFmtId="0" fontId="4" fillId="0" borderId="0" xfId="0" applyFont="1"/>
    <xf numFmtId="0" fontId="17" fillId="0" borderId="0" xfId="0" applyFont="1" applyAlignment="1">
      <alignment horizontal="right" vertical="center" wrapText="1"/>
    </xf>
    <xf numFmtId="0" fontId="8" fillId="0" borderId="0" xfId="0" applyFont="1" applyAlignment="1">
      <alignment horizontal="right" vertical="center" wrapText="1"/>
    </xf>
    <xf numFmtId="0" fontId="7" fillId="0" borderId="1" xfId="0" applyFont="1" applyBorder="1" applyAlignment="1">
      <alignment vertical="center"/>
    </xf>
    <xf numFmtId="0" fontId="17" fillId="0" borderId="0" xfId="0" applyFont="1" applyAlignment="1">
      <alignment horizontal="right" vertical="center"/>
    </xf>
    <xf numFmtId="0" fontId="13" fillId="0" borderId="1" xfId="0" applyFont="1" applyBorder="1" applyAlignment="1">
      <alignment wrapText="1"/>
    </xf>
    <xf numFmtId="0" fontId="0" fillId="0" borderId="0" xfId="0" applyAlignment="1">
      <alignment horizontal="right"/>
    </xf>
    <xf numFmtId="0" fontId="29" fillId="0" borderId="1" xfId="0" applyFont="1" applyBorder="1" applyAlignment="1">
      <alignment vertical="center" wrapText="1"/>
    </xf>
    <xf numFmtId="0" fontId="19" fillId="0" borderId="0" xfId="0" applyFont="1"/>
    <xf numFmtId="0" fontId="3" fillId="0" borderId="1" xfId="0" applyFont="1" applyBorder="1" applyAlignment="1">
      <alignment vertical="center" wrapText="1"/>
    </xf>
    <xf numFmtId="0" fontId="1" fillId="0" borderId="0" xfId="0" applyFont="1" applyAlignment="1">
      <alignment horizontal="left" vertical="center"/>
    </xf>
    <xf numFmtId="0" fontId="8" fillId="0" borderId="1" xfId="0" applyFont="1" applyBorder="1" applyAlignment="1">
      <alignment horizontal="center" vertical="center"/>
    </xf>
    <xf numFmtId="0" fontId="22" fillId="0" borderId="0" xfId="0" applyFont="1"/>
    <xf numFmtId="0" fontId="3" fillId="0" borderId="1" xfId="0" applyFont="1" applyBorder="1" applyAlignment="1">
      <alignment horizontal="left" vertical="center" wrapText="1"/>
    </xf>
    <xf numFmtId="0" fontId="3" fillId="0" borderId="0" xfId="0" applyFont="1" applyAlignment="1">
      <alignment wrapText="1"/>
    </xf>
    <xf numFmtId="0" fontId="11" fillId="0" borderId="0" xfId="0" applyFont="1" applyAlignment="1">
      <alignment vertical="center"/>
    </xf>
    <xf numFmtId="164" fontId="4" fillId="3" borderId="1" xfId="0" applyNumberFormat="1" applyFont="1" applyFill="1" applyBorder="1" applyAlignment="1">
      <alignment vertical="center"/>
    </xf>
    <xf numFmtId="0" fontId="21" fillId="0" borderId="0" xfId="0" applyFont="1"/>
    <xf numFmtId="0" fontId="3" fillId="0" borderId="0" xfId="0" applyFont="1" applyAlignment="1">
      <alignment horizontal="right" vertical="center" wrapText="1"/>
    </xf>
    <xf numFmtId="0" fontId="3" fillId="0" borderId="0" xfId="0" applyFont="1" applyAlignment="1">
      <alignment horizontal="center" vertical="center" wrapText="1"/>
    </xf>
    <xf numFmtId="164" fontId="17" fillId="3" borderId="0" xfId="0" applyNumberFormat="1" applyFont="1" applyFill="1" applyAlignment="1">
      <alignment vertical="center"/>
    </xf>
    <xf numFmtId="0" fontId="3" fillId="0" borderId="1" xfId="0" applyFont="1" applyBorder="1" applyAlignment="1">
      <alignment horizontal="right"/>
    </xf>
    <xf numFmtId="0" fontId="13" fillId="0" borderId="1" xfId="0" applyFont="1" applyBorder="1"/>
    <xf numFmtId="0" fontId="3" fillId="0" borderId="1" xfId="0" applyFont="1" applyBorder="1" applyAlignment="1">
      <alignment horizontal="right" vertical="top" wrapText="1"/>
    </xf>
    <xf numFmtId="0" fontId="13" fillId="0" borderId="1" xfId="0" applyFont="1" applyBorder="1" applyAlignment="1">
      <alignment horizontal="center"/>
    </xf>
    <xf numFmtId="0" fontId="3" fillId="0" borderId="1" xfId="0" applyFont="1" applyBorder="1" applyAlignment="1">
      <alignment horizontal="right" vertical="center" wrapText="1"/>
    </xf>
    <xf numFmtId="164" fontId="13" fillId="0" borderId="1" xfId="0" applyNumberFormat="1" applyFont="1" applyBorder="1" applyAlignment="1">
      <alignment horizontal="right" vertical="center"/>
    </xf>
    <xf numFmtId="2" fontId="0" fillId="0" borderId="0" xfId="0" applyNumberFormat="1"/>
    <xf numFmtId="0" fontId="3" fillId="0" borderId="0" xfId="0" applyFont="1" applyAlignment="1">
      <alignment horizontal="right"/>
    </xf>
    <xf numFmtId="164" fontId="4" fillId="0" borderId="7" xfId="0" applyNumberFormat="1" applyFont="1" applyBorder="1"/>
    <xf numFmtId="164" fontId="8" fillId="0" borderId="1" xfId="0" applyNumberFormat="1" applyFont="1" applyBorder="1"/>
    <xf numFmtId="0" fontId="0" fillId="0" borderId="6" xfId="0" applyBorder="1"/>
    <xf numFmtId="0" fontId="10" fillId="0" borderId="0" xfId="0" applyFont="1"/>
    <xf numFmtId="0" fontId="0" fillId="0" borderId="17" xfId="0" applyBorder="1" applyAlignment="1">
      <alignment horizontal="left"/>
    </xf>
    <xf numFmtId="0" fontId="0" fillId="0" borderId="0" xfId="0" applyAlignment="1">
      <alignment horizontal="left"/>
    </xf>
    <xf numFmtId="0" fontId="8" fillId="0" borderId="0" xfId="0" applyFont="1" applyAlignment="1">
      <alignment horizontal="left"/>
    </xf>
    <xf numFmtId="0" fontId="0" fillId="0" borderId="5" xfId="0" applyBorder="1"/>
    <xf numFmtId="0" fontId="9" fillId="3" borderId="0" xfId="0" applyFont="1" applyFill="1" applyAlignment="1">
      <alignment horizontal="left" vertical="top" wrapText="1"/>
    </xf>
    <xf numFmtId="0" fontId="30" fillId="3" borderId="0" xfId="0" applyFont="1" applyFill="1" applyAlignment="1">
      <alignment horizontal="left" vertical="top" wrapText="1"/>
    </xf>
    <xf numFmtId="0" fontId="0" fillId="0" borderId="15" xfId="0" applyBorder="1" applyAlignment="1">
      <alignment horizontal="left"/>
    </xf>
    <xf numFmtId="0" fontId="0" fillId="0" borderId="16" xfId="0" applyBorder="1"/>
    <xf numFmtId="164" fontId="4" fillId="0" borderId="1" xfId="0" applyNumberFormat="1" applyFont="1" applyBorder="1"/>
    <xf numFmtId="0" fontId="2" fillId="0" borderId="0" xfId="0" applyFont="1" applyAlignment="1">
      <alignment horizontal="left" wrapText="1"/>
    </xf>
    <xf numFmtId="0" fontId="24" fillId="0" borderId="0" xfId="0" applyFont="1" applyAlignment="1">
      <alignment horizontal="right" vertical="center" wrapText="1"/>
    </xf>
    <xf numFmtId="0" fontId="13" fillId="0" borderId="0" xfId="0" applyFont="1" applyAlignment="1">
      <alignment vertical="center" wrapText="1"/>
    </xf>
    <xf numFmtId="2" fontId="0" fillId="0" borderId="0" xfId="0" applyNumberFormat="1" applyAlignment="1">
      <alignment horizontal="center" vertical="center"/>
    </xf>
    <xf numFmtId="0" fontId="7" fillId="0" borderId="0" xfId="0" applyFont="1" applyAlignment="1">
      <alignment vertical="center"/>
    </xf>
    <xf numFmtId="0" fontId="4" fillId="0" borderId="4" xfId="0" applyFont="1" applyBorder="1"/>
    <xf numFmtId="0" fontId="31" fillId="0" borderId="0" xfId="0" applyFont="1" applyAlignment="1">
      <alignment horizontal="right" vertical="center" wrapText="1"/>
    </xf>
    <xf numFmtId="0" fontId="0" fillId="0" borderId="1" xfId="0" applyBorder="1" applyAlignment="1">
      <alignment horizontal="right" vertical="center"/>
    </xf>
    <xf numFmtId="0" fontId="13" fillId="0" borderId="1" xfId="0" applyFont="1" applyBorder="1" applyAlignment="1">
      <alignment horizontal="left" vertical="top" wrapText="1"/>
    </xf>
    <xf numFmtId="164" fontId="2" fillId="0" borderId="1" xfId="0" applyNumberFormat="1" applyFont="1" applyBorder="1" applyAlignment="1">
      <alignment vertical="center"/>
    </xf>
    <xf numFmtId="0" fontId="29" fillId="0" borderId="1" xfId="0" applyFont="1" applyBorder="1" applyAlignment="1">
      <alignment horizontal="right" vertical="center"/>
    </xf>
    <xf numFmtId="0" fontId="7" fillId="12" borderId="1" xfId="0" applyFont="1" applyFill="1" applyBorder="1"/>
    <xf numFmtId="0" fontId="13" fillId="12" borderId="1" xfId="0" applyFont="1" applyFill="1" applyBorder="1" applyAlignment="1">
      <alignment vertical="center" wrapText="1"/>
    </xf>
    <xf numFmtId="0" fontId="8" fillId="12" borderId="1" xfId="0" applyFont="1" applyFill="1" applyBorder="1" applyAlignment="1">
      <alignment horizontal="center" vertical="center"/>
    </xf>
    <xf numFmtId="0" fontId="29" fillId="12" borderId="1" xfId="0" applyFont="1" applyFill="1" applyBorder="1"/>
    <xf numFmtId="0" fontId="16" fillId="0" borderId="1" xfId="0" applyFont="1" applyBorder="1" applyAlignment="1">
      <alignment vertical="center"/>
    </xf>
    <xf numFmtId="0" fontId="1" fillId="0" borderId="1" xfId="0" applyFont="1" applyBorder="1" applyAlignment="1">
      <alignment vertical="center"/>
    </xf>
    <xf numFmtId="2" fontId="0" fillId="0" borderId="1" xfId="0" applyNumberFormat="1" applyBorder="1" applyAlignment="1">
      <alignment horizontal="right" vertical="center"/>
    </xf>
    <xf numFmtId="2" fontId="8" fillId="0" borderId="1" xfId="0" applyNumberFormat="1" applyFont="1" applyBorder="1" applyAlignment="1">
      <alignment horizontal="right" vertical="center"/>
    </xf>
    <xf numFmtId="0" fontId="1" fillId="0" borderId="0" xfId="0" applyFont="1" applyAlignment="1">
      <alignment horizontal="left" vertical="center" wrapText="1"/>
    </xf>
    <xf numFmtId="0" fontId="1" fillId="3" borderId="0" xfId="0" applyFont="1" applyFill="1" applyAlignment="1">
      <alignment vertical="center"/>
    </xf>
    <xf numFmtId="164" fontId="18" fillId="0" borderId="0" xfId="0" applyNumberFormat="1" applyFont="1"/>
    <xf numFmtId="0" fontId="35" fillId="0" borderId="0" xfId="0" applyFont="1" applyAlignment="1">
      <alignment horizontal="center" vertical="center"/>
    </xf>
    <xf numFmtId="0" fontId="0" fillId="0" borderId="1" xfId="0" applyBorder="1" applyAlignment="1">
      <alignment vertical="center" wrapText="1"/>
    </xf>
    <xf numFmtId="164" fontId="3" fillId="3" borderId="0" xfId="0" applyNumberFormat="1" applyFont="1" applyFill="1" applyAlignment="1">
      <alignment horizontal="center"/>
    </xf>
    <xf numFmtId="0" fontId="0" fillId="0" borderId="1" xfId="0" applyBorder="1" applyAlignment="1">
      <alignment vertical="center"/>
    </xf>
    <xf numFmtId="0" fontId="31" fillId="0" borderId="0" xfId="0" applyFont="1" applyAlignment="1">
      <alignment wrapText="1"/>
    </xf>
    <xf numFmtId="164" fontId="22" fillId="3" borderId="0" xfId="0" quotePrefix="1" applyNumberFormat="1" applyFont="1" applyFill="1" applyAlignment="1">
      <alignment vertical="center"/>
    </xf>
    <xf numFmtId="0" fontId="1" fillId="13" borderId="20" xfId="0" applyFont="1" applyFill="1" applyBorder="1" applyAlignment="1">
      <alignment vertical="center" wrapText="1"/>
    </xf>
    <xf numFmtId="0" fontId="1" fillId="0" borderId="21" xfId="0" applyFont="1" applyBorder="1" applyAlignment="1">
      <alignment vertical="center" wrapText="1"/>
    </xf>
    <xf numFmtId="0" fontId="0" fillId="6" borderId="22" xfId="0" applyFill="1" applyBorder="1"/>
    <xf numFmtId="164" fontId="0" fillId="6" borderId="22" xfId="0" applyNumberFormat="1" applyFill="1" applyBorder="1"/>
    <xf numFmtId="164" fontId="0" fillId="13" borderId="22" xfId="0" applyNumberFormat="1" applyFill="1" applyBorder="1"/>
    <xf numFmtId="0" fontId="0" fillId="0" borderId="23" xfId="0" applyBorder="1"/>
    <xf numFmtId="164" fontId="1" fillId="13" borderId="1" xfId="0" applyNumberFormat="1" applyFont="1" applyFill="1" applyBorder="1"/>
    <xf numFmtId="164" fontId="0" fillId="13" borderId="1" xfId="0" applyNumberFormat="1" applyFill="1" applyBorder="1"/>
    <xf numFmtId="0" fontId="0" fillId="0" borderId="24" xfId="0" applyBorder="1"/>
    <xf numFmtId="164" fontId="39" fillId="13" borderId="1" xfId="0" applyNumberFormat="1" applyFont="1" applyFill="1" applyBorder="1"/>
    <xf numFmtId="0" fontId="0" fillId="6" borderId="19" xfId="0" applyFill="1" applyBorder="1"/>
    <xf numFmtId="164" fontId="0" fillId="6" borderId="19" xfId="0" applyNumberFormat="1" applyFill="1" applyBorder="1"/>
    <xf numFmtId="164" fontId="0" fillId="13" borderId="19" xfId="0" applyNumberFormat="1" applyFill="1" applyBorder="1"/>
    <xf numFmtId="0" fontId="0" fillId="0" borderId="25" xfId="0" applyBorder="1"/>
    <xf numFmtId="0" fontId="0" fillId="7" borderId="22" xfId="0" applyFill="1" applyBorder="1"/>
    <xf numFmtId="164" fontId="0" fillId="7" borderId="22" xfId="0" applyNumberFormat="1" applyFill="1" applyBorder="1"/>
    <xf numFmtId="0" fontId="0" fillId="7" borderId="19" xfId="0" applyFill="1" applyBorder="1"/>
    <xf numFmtId="164" fontId="0" fillId="7" borderId="19" xfId="0" applyNumberFormat="1" applyFill="1" applyBorder="1"/>
    <xf numFmtId="0" fontId="0" fillId="8" borderId="22" xfId="0" applyFill="1" applyBorder="1"/>
    <xf numFmtId="164" fontId="0" fillId="8" borderId="22" xfId="0" applyNumberFormat="1" applyFill="1" applyBorder="1"/>
    <xf numFmtId="0" fontId="0" fillId="8" borderId="19" xfId="0" applyFill="1" applyBorder="1"/>
    <xf numFmtId="164" fontId="0" fillId="8" borderId="19" xfId="0" applyNumberFormat="1" applyFill="1" applyBorder="1"/>
    <xf numFmtId="0" fontId="0" fillId="9" borderId="22" xfId="0" applyFill="1" applyBorder="1"/>
    <xf numFmtId="164" fontId="0" fillId="9" borderId="22" xfId="0" applyNumberFormat="1" applyFill="1" applyBorder="1"/>
    <xf numFmtId="164" fontId="25" fillId="9" borderId="1" xfId="0" applyNumberFormat="1" applyFont="1" applyFill="1" applyBorder="1"/>
    <xf numFmtId="164" fontId="39" fillId="13" borderId="19" xfId="0" applyNumberFormat="1" applyFont="1" applyFill="1" applyBorder="1"/>
    <xf numFmtId="164" fontId="25" fillId="10" borderId="1" xfId="0" applyNumberFormat="1" applyFont="1" applyFill="1" applyBorder="1"/>
    <xf numFmtId="0" fontId="0" fillId="11" borderId="22" xfId="0" applyFill="1" applyBorder="1"/>
    <xf numFmtId="164" fontId="0" fillId="11" borderId="22" xfId="0" applyNumberFormat="1" applyFill="1" applyBorder="1"/>
    <xf numFmtId="164" fontId="25" fillId="11" borderId="1" xfId="0" applyNumberFormat="1" applyFont="1" applyFill="1" applyBorder="1"/>
    <xf numFmtId="0" fontId="0" fillId="11" borderId="19" xfId="0" applyFill="1" applyBorder="1"/>
    <xf numFmtId="164" fontId="0" fillId="11" borderId="19" xfId="0" applyNumberFormat="1" applyFill="1" applyBorder="1"/>
    <xf numFmtId="0" fontId="0" fillId="12" borderId="22" xfId="0" applyFill="1" applyBorder="1"/>
    <xf numFmtId="164" fontId="0" fillId="12" borderId="22" xfId="0" applyNumberFormat="1" applyFill="1" applyBorder="1"/>
    <xf numFmtId="164" fontId="25" fillId="12" borderId="1" xfId="0" applyNumberFormat="1" applyFont="1" applyFill="1" applyBorder="1"/>
    <xf numFmtId="14" fontId="0" fillId="0" borderId="1" xfId="0" applyNumberFormat="1" applyBorder="1"/>
    <xf numFmtId="0" fontId="1" fillId="0" borderId="2" xfId="0" applyFont="1" applyBorder="1" applyAlignment="1">
      <alignment vertical="center" wrapText="1"/>
    </xf>
    <xf numFmtId="0" fontId="28" fillId="14" borderId="1" xfId="0" applyFont="1" applyFill="1" applyBorder="1" applyAlignment="1">
      <alignment horizontal="right" vertical="center" wrapText="1"/>
    </xf>
    <xf numFmtId="0" fontId="28" fillId="14" borderId="1" xfId="0" applyFont="1" applyFill="1" applyBorder="1" applyAlignment="1">
      <alignment horizontal="center" vertical="center"/>
    </xf>
    <xf numFmtId="0" fontId="28" fillId="3" borderId="1" xfId="0" applyFont="1" applyFill="1" applyBorder="1" applyAlignment="1">
      <alignment horizontal="right" vertical="center" wrapText="1"/>
    </xf>
    <xf numFmtId="0" fontId="28" fillId="3" borderId="1" xfId="0" applyFont="1" applyFill="1" applyBorder="1" applyAlignment="1">
      <alignment horizontal="center" vertical="center"/>
    </xf>
    <xf numFmtId="0" fontId="5" fillId="0" borderId="0" xfId="0" applyFont="1" applyAlignment="1">
      <alignment vertical="top" wrapText="1"/>
    </xf>
    <xf numFmtId="164" fontId="39" fillId="13" borderId="22" xfId="0" applyNumberFormat="1" applyFont="1" applyFill="1" applyBorder="1"/>
    <xf numFmtId="164" fontId="25" fillId="15" borderId="1" xfId="0" applyNumberFormat="1" applyFont="1" applyFill="1" applyBorder="1"/>
    <xf numFmtId="8" fontId="0" fillId="12" borderId="1" xfId="0" applyNumberFormat="1" applyFill="1" applyBorder="1"/>
    <xf numFmtId="0" fontId="0" fillId="12" borderId="27" xfId="0" applyFill="1" applyBorder="1"/>
    <xf numFmtId="164" fontId="0" fillId="12" borderId="27" xfId="0" applyNumberFormat="1" applyFill="1" applyBorder="1"/>
    <xf numFmtId="164" fontId="39" fillId="13" borderId="27" xfId="0" applyNumberFormat="1" applyFont="1" applyFill="1" applyBorder="1"/>
    <xf numFmtId="164" fontId="0" fillId="13" borderId="27" xfId="0" applyNumberFormat="1" applyFill="1" applyBorder="1"/>
    <xf numFmtId="0" fontId="0" fillId="10" borderId="26" xfId="0" applyFill="1" applyBorder="1"/>
    <xf numFmtId="0" fontId="0" fillId="10" borderId="18" xfId="0" applyFill="1" applyBorder="1"/>
    <xf numFmtId="164" fontId="0" fillId="10" borderId="18" xfId="0" applyNumberFormat="1" applyFill="1" applyBorder="1"/>
    <xf numFmtId="164" fontId="39" fillId="13" borderId="18" xfId="0" applyNumberFormat="1" applyFont="1" applyFill="1" applyBorder="1"/>
    <xf numFmtId="0" fontId="0" fillId="0" borderId="28" xfId="0" applyBorder="1"/>
    <xf numFmtId="8" fontId="0" fillId="10" borderId="1" xfId="0" applyNumberFormat="1" applyFill="1" applyBorder="1"/>
    <xf numFmtId="0" fontId="0" fillId="12" borderId="26" xfId="0" applyFill="1" applyBorder="1"/>
    <xf numFmtId="0" fontId="0" fillId="12" borderId="19" xfId="0" applyFill="1" applyBorder="1"/>
    <xf numFmtId="164" fontId="0" fillId="12" borderId="19" xfId="0" applyNumberFormat="1" applyFill="1" applyBorder="1"/>
    <xf numFmtId="0" fontId="0" fillId="11" borderId="26" xfId="0" applyFill="1" applyBorder="1"/>
    <xf numFmtId="0" fontId="0" fillId="11" borderId="18" xfId="0" applyFill="1" applyBorder="1"/>
    <xf numFmtId="0" fontId="5" fillId="0" borderId="2" xfId="0" applyFont="1" applyBorder="1"/>
    <xf numFmtId="0" fontId="8" fillId="3" borderId="1" xfId="0" applyFont="1" applyFill="1" applyBorder="1"/>
    <xf numFmtId="0" fontId="0" fillId="6" borderId="29" xfId="0" applyFill="1" applyBorder="1"/>
    <xf numFmtId="0" fontId="0" fillId="6" borderId="30" xfId="0" applyFill="1" applyBorder="1"/>
    <xf numFmtId="0" fontId="0" fillId="9" borderId="29" xfId="0" applyFill="1" applyBorder="1"/>
    <xf numFmtId="0" fontId="0" fillId="9" borderId="30" xfId="0" applyFill="1" applyBorder="1"/>
    <xf numFmtId="0" fontId="0" fillId="10" borderId="29" xfId="0" applyFill="1" applyBorder="1"/>
    <xf numFmtId="0" fontId="0" fillId="10" borderId="22" xfId="0" applyFill="1" applyBorder="1"/>
    <xf numFmtId="164" fontId="0" fillId="10" borderId="22" xfId="0" applyNumberFormat="1" applyFill="1" applyBorder="1"/>
    <xf numFmtId="0" fontId="0" fillId="10" borderId="30" xfId="0" applyFill="1" applyBorder="1"/>
    <xf numFmtId="0" fontId="0" fillId="11" borderId="29" xfId="0" applyFill="1" applyBorder="1"/>
    <xf numFmtId="0" fontId="0" fillId="11" borderId="30" xfId="0" applyFill="1" applyBorder="1"/>
    <xf numFmtId="0" fontId="0" fillId="11" borderId="31" xfId="0" applyFill="1" applyBorder="1"/>
    <xf numFmtId="0" fontId="0" fillId="12" borderId="29" xfId="0" applyFill="1" applyBorder="1"/>
    <xf numFmtId="0" fontId="0" fillId="12" borderId="30" xfId="0" applyFill="1" applyBorder="1"/>
    <xf numFmtId="164" fontId="0" fillId="11" borderId="18" xfId="0" applyNumberFormat="1" applyFill="1" applyBorder="1"/>
    <xf numFmtId="0" fontId="0" fillId="16" borderId="26" xfId="0" applyFill="1" applyBorder="1"/>
    <xf numFmtId="0" fontId="0" fillId="16" borderId="18" xfId="0" applyFill="1" applyBorder="1"/>
    <xf numFmtId="164" fontId="0" fillId="16" borderId="18" xfId="0" applyNumberFormat="1" applyFill="1" applyBorder="1"/>
    <xf numFmtId="0" fontId="0" fillId="16" borderId="30" xfId="0" applyFill="1" applyBorder="1"/>
    <xf numFmtId="0" fontId="0" fillId="16" borderId="1" xfId="0" applyFill="1" applyBorder="1"/>
    <xf numFmtId="164" fontId="0" fillId="16" borderId="1" xfId="0" applyNumberFormat="1" applyFill="1" applyBorder="1"/>
    <xf numFmtId="8" fontId="0" fillId="16" borderId="1" xfId="0" applyNumberFormat="1" applyFill="1" applyBorder="1"/>
    <xf numFmtId="164" fontId="25" fillId="16" borderId="1" xfId="0" applyNumberFormat="1" applyFont="1" applyFill="1" applyBorder="1"/>
    <xf numFmtId="0" fontId="0" fillId="12" borderId="31" xfId="0" applyFill="1" applyBorder="1"/>
    <xf numFmtId="0" fontId="1" fillId="0" borderId="34" xfId="0" applyFont="1" applyBorder="1" applyAlignment="1">
      <alignment vertical="center" wrapText="1"/>
    </xf>
    <xf numFmtId="0" fontId="0" fillId="6" borderId="31" xfId="0" applyFill="1" applyBorder="1"/>
    <xf numFmtId="0" fontId="0" fillId="7" borderId="29" xfId="0" applyFill="1" applyBorder="1"/>
    <xf numFmtId="0" fontId="0" fillId="7" borderId="30" xfId="0" applyFill="1" applyBorder="1"/>
    <xf numFmtId="0" fontId="0" fillId="7" borderId="31" xfId="0" applyFill="1" applyBorder="1"/>
    <xf numFmtId="0" fontId="0" fillId="8" borderId="29" xfId="0" applyFill="1" applyBorder="1"/>
    <xf numFmtId="0" fontId="0" fillId="8" borderId="30" xfId="0" applyFill="1" applyBorder="1"/>
    <xf numFmtId="0" fontId="0" fillId="8" borderId="31" xfId="0" applyFill="1" applyBorder="1"/>
    <xf numFmtId="0" fontId="0" fillId="10" borderId="32" xfId="0" applyFill="1" applyBorder="1"/>
    <xf numFmtId="0" fontId="5" fillId="0" borderId="1" xfId="0" applyFont="1" applyBorder="1"/>
    <xf numFmtId="0" fontId="5" fillId="0" borderId="1" xfId="0" applyFont="1" applyBorder="1" applyAlignment="1">
      <alignment wrapText="1"/>
    </xf>
    <xf numFmtId="0" fontId="0" fillId="0" borderId="0" xfId="0" applyAlignment="1">
      <alignment vertical="center" wrapText="1"/>
    </xf>
    <xf numFmtId="0" fontId="16" fillId="0" borderId="0" xfId="0" applyFont="1" applyAlignment="1">
      <alignment vertical="center" wrapText="1"/>
    </xf>
    <xf numFmtId="0" fontId="5" fillId="0" borderId="1" xfId="0" applyFont="1" applyBorder="1" applyAlignment="1">
      <alignment vertical="top" wrapText="1"/>
    </xf>
    <xf numFmtId="0" fontId="8" fillId="0" borderId="0" xfId="0" applyFont="1" applyAlignment="1">
      <alignment vertical="center" wrapText="1"/>
    </xf>
    <xf numFmtId="0" fontId="36" fillId="3" borderId="0" xfId="0" applyFont="1" applyFill="1" applyAlignment="1">
      <alignment horizontal="center" vertical="center"/>
    </xf>
    <xf numFmtId="0" fontId="8" fillId="0" borderId="1" xfId="0" quotePrefix="1" applyFont="1" applyBorder="1" applyAlignment="1">
      <alignment vertical="center"/>
    </xf>
    <xf numFmtId="0" fontId="13" fillId="3" borderId="1" xfId="0" applyFont="1" applyFill="1" applyBorder="1" applyAlignment="1">
      <alignment horizontal="left" vertical="center" wrapText="1"/>
    </xf>
    <xf numFmtId="0" fontId="8" fillId="3" borderId="1" xfId="0" applyFont="1" applyFill="1" applyBorder="1" applyAlignment="1">
      <alignment vertical="center"/>
    </xf>
    <xf numFmtId="0" fontId="41" fillId="12" borderId="1" xfId="0" applyFont="1" applyFill="1" applyBorder="1"/>
    <xf numFmtId="164" fontId="8" fillId="0" borderId="0" xfId="0" applyNumberFormat="1" applyFont="1"/>
    <xf numFmtId="0" fontId="8" fillId="3" borderId="1" xfId="0" quotePrefix="1" applyFont="1" applyFill="1" applyBorder="1" applyAlignment="1">
      <alignment vertical="center"/>
    </xf>
    <xf numFmtId="164" fontId="2" fillId="2" borderId="1" xfId="0" applyNumberFormat="1" applyFont="1" applyFill="1" applyBorder="1" applyProtection="1">
      <protection locked="0"/>
    </xf>
    <xf numFmtId="0" fontId="1" fillId="0" borderId="29" xfId="0" applyFont="1" applyBorder="1"/>
    <xf numFmtId="0" fontId="0" fillId="0" borderId="30" xfId="0" applyBorder="1"/>
    <xf numFmtId="0" fontId="0" fillId="0" borderId="24" xfId="0" applyBorder="1" applyAlignment="1">
      <alignment horizontal="left"/>
    </xf>
    <xf numFmtId="0" fontId="0" fillId="0" borderId="31" xfId="0" applyBorder="1"/>
    <xf numFmtId="0" fontId="0" fillId="0" borderId="25" xfId="0" applyBorder="1" applyAlignment="1">
      <alignment horizontal="left"/>
    </xf>
    <xf numFmtId="0" fontId="7" fillId="0" borderId="1" xfId="0" quotePrefix="1" applyFont="1" applyBorder="1"/>
    <xf numFmtId="0" fontId="42" fillId="0" borderId="1" xfId="0" applyFont="1" applyBorder="1"/>
    <xf numFmtId="0" fontId="8" fillId="3" borderId="1" xfId="0" quotePrefix="1" applyFont="1" applyFill="1" applyBorder="1"/>
    <xf numFmtId="0" fontId="7" fillId="0" borderId="0" xfId="0" quotePrefix="1" applyFont="1"/>
    <xf numFmtId="164" fontId="4" fillId="0" borderId="1" xfId="0" applyNumberFormat="1" applyFont="1" applyBorder="1" applyAlignment="1">
      <alignment horizontal="right" vertical="center"/>
    </xf>
    <xf numFmtId="164" fontId="4" fillId="0" borderId="0" xfId="0" applyNumberFormat="1" applyFont="1" applyAlignment="1">
      <alignment horizontal="right" vertical="center"/>
    </xf>
    <xf numFmtId="0" fontId="5" fillId="0" borderId="1" xfId="0" applyFont="1" applyBorder="1" applyAlignment="1">
      <alignment vertical="center" wrapText="1"/>
    </xf>
    <xf numFmtId="0" fontId="3" fillId="0" borderId="0" xfId="0" applyFont="1" applyAlignment="1">
      <alignment horizontal="right" wrapText="1"/>
    </xf>
    <xf numFmtId="0" fontId="46" fillId="3" borderId="24" xfId="0" applyFont="1" applyFill="1" applyBorder="1"/>
    <xf numFmtId="0" fontId="0" fillId="7" borderId="18" xfId="0" applyFill="1" applyBorder="1"/>
    <xf numFmtId="0" fontId="0" fillId="8" borderId="11" xfId="0" applyFill="1" applyBorder="1"/>
    <xf numFmtId="0" fontId="46" fillId="3" borderId="23" xfId="0" applyFont="1" applyFill="1" applyBorder="1"/>
    <xf numFmtId="0" fontId="46" fillId="3" borderId="33" xfId="0" applyFont="1" applyFill="1" applyBorder="1"/>
    <xf numFmtId="0" fontId="0" fillId="9" borderId="26" xfId="0" applyFill="1" applyBorder="1"/>
    <xf numFmtId="0" fontId="46" fillId="3" borderId="1" xfId="0" applyFont="1" applyFill="1" applyBorder="1"/>
    <xf numFmtId="0" fontId="46" fillId="3" borderId="27" xfId="0" applyFont="1" applyFill="1" applyBorder="1"/>
    <xf numFmtId="0" fontId="0" fillId="0" borderId="19" xfId="0" applyBorder="1"/>
    <xf numFmtId="0" fontId="46" fillId="3" borderId="18" xfId="0" applyFont="1" applyFill="1" applyBorder="1"/>
    <xf numFmtId="0" fontId="47" fillId="17" borderId="30" xfId="0" applyFont="1" applyFill="1" applyBorder="1"/>
    <xf numFmtId="0" fontId="47" fillId="17" borderId="1" xfId="0" applyFont="1" applyFill="1" applyBorder="1"/>
    <xf numFmtId="164" fontId="47" fillId="17" borderId="1" xfId="0" applyNumberFormat="1" applyFont="1" applyFill="1" applyBorder="1"/>
    <xf numFmtId="0" fontId="46" fillId="3" borderId="19" xfId="0" applyFont="1" applyFill="1" applyBorder="1"/>
    <xf numFmtId="0" fontId="0" fillId="0" borderId="18" xfId="0" applyBorder="1"/>
    <xf numFmtId="0" fontId="38" fillId="18" borderId="30" xfId="0" applyFont="1" applyFill="1" applyBorder="1"/>
    <xf numFmtId="0" fontId="38" fillId="18" borderId="1" xfId="0" applyFont="1" applyFill="1" applyBorder="1"/>
    <xf numFmtId="164" fontId="38" fillId="18" borderId="1" xfId="0" applyNumberFormat="1" applyFont="1" applyFill="1" applyBorder="1"/>
    <xf numFmtId="0" fontId="38" fillId="18" borderId="24" xfId="0" applyFont="1" applyFill="1" applyBorder="1"/>
    <xf numFmtId="0" fontId="47" fillId="17" borderId="24" xfId="0" applyFont="1" applyFill="1" applyBorder="1"/>
    <xf numFmtId="0" fontId="48" fillId="17" borderId="30" xfId="0" applyFont="1" applyFill="1" applyBorder="1"/>
    <xf numFmtId="0" fontId="48" fillId="17" borderId="1" xfId="0" applyFont="1" applyFill="1" applyBorder="1"/>
    <xf numFmtId="164" fontId="48" fillId="17" borderId="1" xfId="0" applyNumberFormat="1" applyFont="1" applyFill="1" applyBorder="1"/>
    <xf numFmtId="164" fontId="49" fillId="17" borderId="1" xfId="0" applyNumberFormat="1" applyFont="1" applyFill="1" applyBorder="1"/>
    <xf numFmtId="8" fontId="47" fillId="17" borderId="1" xfId="0" applyNumberFormat="1" applyFont="1" applyFill="1" applyBorder="1"/>
    <xf numFmtId="0" fontId="0" fillId="12" borderId="0" xfId="0" applyFill="1"/>
    <xf numFmtId="0" fontId="10" fillId="0" borderId="1" xfId="0" applyFont="1" applyBorder="1" applyAlignment="1">
      <alignment wrapText="1"/>
    </xf>
    <xf numFmtId="0" fontId="50" fillId="0" borderId="0" xfId="0" applyFont="1"/>
    <xf numFmtId="0" fontId="1" fillId="0" borderId="0" xfId="0" applyFont="1"/>
    <xf numFmtId="0" fontId="0" fillId="0" borderId="1" xfId="0" applyBorder="1" applyAlignment="1">
      <alignment horizontal="center"/>
    </xf>
    <xf numFmtId="0" fontId="0" fillId="0" borderId="0" xfId="0" applyAlignment="1">
      <alignment horizontal="center"/>
    </xf>
    <xf numFmtId="0" fontId="0" fillId="9" borderId="31" xfId="0" applyFill="1" applyBorder="1"/>
    <xf numFmtId="0" fontId="0" fillId="9" borderId="19" xfId="0" applyFill="1" applyBorder="1"/>
    <xf numFmtId="164" fontId="0" fillId="9" borderId="19" xfId="0" applyNumberFormat="1" applyFill="1" applyBorder="1"/>
    <xf numFmtId="0" fontId="0" fillId="10" borderId="31" xfId="0" applyFill="1" applyBorder="1"/>
    <xf numFmtId="0" fontId="0" fillId="10" borderId="19" xfId="0" applyFill="1" applyBorder="1"/>
    <xf numFmtId="164" fontId="0" fillId="10" borderId="19" xfId="0" applyNumberFormat="1" applyFill="1" applyBorder="1"/>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0" fillId="0" borderId="17" xfId="0" applyBorder="1" applyAlignment="1">
      <alignment vertical="center"/>
    </xf>
    <xf numFmtId="0" fontId="0" fillId="0" borderId="0" xfId="0" applyAlignment="1">
      <alignment vertical="center"/>
    </xf>
    <xf numFmtId="0" fontId="0" fillId="0" borderId="5" xfId="0" applyBorder="1" applyAlignment="1">
      <alignment vertical="center"/>
    </xf>
    <xf numFmtId="0" fontId="4" fillId="0" borderId="2" xfId="0" applyFont="1" applyBorder="1" applyAlignment="1">
      <alignment horizontal="right"/>
    </xf>
    <xf numFmtId="0" fontId="4" fillId="0" borderId="3" xfId="0" applyFont="1" applyBorder="1" applyAlignment="1">
      <alignment horizontal="right"/>
    </xf>
    <xf numFmtId="0" fontId="4" fillId="0" borderId="4" xfId="0" applyFont="1" applyBorder="1" applyAlignment="1">
      <alignment horizontal="right"/>
    </xf>
    <xf numFmtId="0" fontId="23" fillId="3" borderId="0" xfId="0" applyFont="1" applyFill="1" applyAlignment="1" applyProtection="1">
      <alignment horizontal="left" vertical="center" wrapText="1"/>
      <protection locked="0"/>
    </xf>
    <xf numFmtId="164" fontId="24" fillId="3" borderId="0" xfId="0" quotePrefix="1" applyNumberFormat="1" applyFont="1" applyFill="1" applyAlignment="1">
      <alignment horizontal="center" vertical="center"/>
    </xf>
    <xf numFmtId="164" fontId="24" fillId="3" borderId="0" xfId="0" applyNumberFormat="1" applyFont="1" applyFill="1" applyAlignment="1">
      <alignment horizontal="center"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24" fillId="3" borderId="0" xfId="0" quotePrefix="1" applyFont="1" applyFill="1" applyAlignment="1">
      <alignment horizontal="left" vertical="center" wrapText="1"/>
    </xf>
    <xf numFmtId="0" fontId="24" fillId="3" borderId="0" xfId="0" applyFont="1" applyFill="1" applyAlignment="1">
      <alignment horizontal="left" vertical="center" wrapText="1"/>
    </xf>
    <xf numFmtId="0" fontId="22" fillId="3" borderId="0" xfId="0" applyFont="1" applyFill="1" applyAlignment="1" applyProtection="1">
      <alignment horizontal="left" vertical="center" wrapText="1"/>
      <protection locked="0"/>
    </xf>
    <xf numFmtId="0" fontId="0" fillId="0" borderId="0" xfId="0" applyAlignment="1">
      <alignment horizontal="left" vertical="center" wrapText="1"/>
    </xf>
    <xf numFmtId="2" fontId="2" fillId="3" borderId="1" xfId="0" applyNumberFormat="1" applyFont="1" applyFill="1" applyBorder="1" applyAlignment="1">
      <alignment horizontal="center" vertical="center"/>
    </xf>
    <xf numFmtId="49" fontId="23" fillId="3" borderId="1" xfId="0" applyNumberFormat="1" applyFont="1" applyFill="1" applyBorder="1" applyAlignment="1" applyProtection="1">
      <alignment horizontal="center" vertical="center"/>
      <protection locked="0"/>
    </xf>
    <xf numFmtId="1" fontId="23" fillId="3" borderId="1" xfId="0" applyNumberFormat="1" applyFont="1" applyFill="1" applyBorder="1" applyAlignment="1" applyProtection="1">
      <alignment horizontal="center" vertical="center"/>
      <protection locked="0"/>
    </xf>
    <xf numFmtId="0" fontId="35" fillId="0" borderId="0" xfId="0" applyFont="1" applyAlignment="1" applyProtection="1">
      <alignment horizontal="center" vertical="center"/>
      <protection locked="0"/>
    </xf>
    <xf numFmtId="0" fontId="3" fillId="0" borderId="2" xfId="0" applyFont="1" applyBorder="1" applyAlignment="1">
      <alignment horizontal="right" vertical="center" wrapText="1"/>
    </xf>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164" fontId="24" fillId="3" borderId="0" xfId="0" quotePrefix="1" applyNumberFormat="1" applyFont="1" applyFill="1" applyAlignment="1">
      <alignment horizontal="left" vertical="center"/>
    </xf>
    <xf numFmtId="164" fontId="9" fillId="3" borderId="1" xfId="0" applyNumberFormat="1" applyFont="1" applyFill="1" applyBorder="1" applyAlignment="1" applyProtection="1">
      <alignment horizontal="center"/>
      <protection locked="0"/>
    </xf>
    <xf numFmtId="0" fontId="27" fillId="0" borderId="1" xfId="0" applyFont="1" applyBorder="1" applyAlignment="1">
      <alignment horizontal="center" vertical="center" wrapText="1"/>
    </xf>
    <xf numFmtId="0" fontId="3" fillId="0" borderId="0" xfId="0" applyFont="1" applyAlignment="1">
      <alignment horizontal="right" wrapText="1"/>
    </xf>
    <xf numFmtId="0" fontId="3" fillId="0" borderId="6" xfId="0" applyFont="1" applyBorder="1" applyAlignment="1">
      <alignment horizontal="right" wrapText="1"/>
    </xf>
    <xf numFmtId="0" fontId="11" fillId="0" borderId="0" xfId="0" applyFont="1" applyAlignment="1">
      <alignment horizontal="left" vertical="center" wrapText="1"/>
    </xf>
    <xf numFmtId="0" fontId="42" fillId="0" borderId="1" xfId="0" applyFont="1" applyBorder="1" applyAlignment="1">
      <alignment horizontal="center"/>
    </xf>
    <xf numFmtId="0" fontId="12" fillId="0" borderId="0" xfId="0" applyFont="1" applyAlignment="1">
      <alignment horizontal="center"/>
    </xf>
    <xf numFmtId="0" fontId="17" fillId="5" borderId="8" xfId="0" applyFont="1" applyFill="1" applyBorder="1" applyAlignment="1">
      <alignment horizontal="center" vertical="center"/>
    </xf>
    <xf numFmtId="0" fontId="17" fillId="5" borderId="9" xfId="0" applyFont="1" applyFill="1" applyBorder="1" applyAlignment="1">
      <alignment horizontal="center" vertical="center"/>
    </xf>
    <xf numFmtId="0" fontId="17" fillId="5" borderId="10" xfId="0" applyFont="1" applyFill="1" applyBorder="1" applyAlignment="1">
      <alignment horizontal="center" vertical="center"/>
    </xf>
    <xf numFmtId="0" fontId="2" fillId="2" borderId="1" xfId="0" applyFont="1" applyFill="1" applyBorder="1" applyAlignment="1" applyProtection="1">
      <alignment horizontal="left" vertical="center"/>
      <protection locked="0"/>
    </xf>
    <xf numFmtId="0" fontId="2" fillId="2" borderId="2" xfId="0" applyFont="1" applyFill="1" applyBorder="1" applyAlignment="1" applyProtection="1">
      <alignment horizontal="left"/>
      <protection locked="0"/>
    </xf>
    <xf numFmtId="0" fontId="2" fillId="2" borderId="3" xfId="0" applyFont="1" applyFill="1" applyBorder="1" applyAlignment="1" applyProtection="1">
      <alignment horizontal="left"/>
      <protection locked="0"/>
    </xf>
    <xf numFmtId="0" fontId="2" fillId="2" borderId="4" xfId="0" applyFont="1" applyFill="1" applyBorder="1" applyAlignment="1" applyProtection="1">
      <alignment horizontal="left"/>
      <protection locked="0"/>
    </xf>
    <xf numFmtId="14" fontId="9" fillId="3" borderId="0" xfId="0" applyNumberFormat="1" applyFont="1" applyFill="1" applyAlignment="1" applyProtection="1">
      <alignment horizontal="center" vertical="center"/>
      <protection locked="0"/>
    </xf>
    <xf numFmtId="164" fontId="24" fillId="3" borderId="0" xfId="0" quotePrefix="1" applyNumberFormat="1" applyFont="1" applyFill="1" applyAlignment="1">
      <alignment horizontal="right" vertical="center"/>
    </xf>
    <xf numFmtId="0" fontId="17" fillId="3" borderId="0" xfId="0" applyFont="1" applyFill="1" applyAlignment="1" applyProtection="1">
      <alignment horizontal="center" vertical="center"/>
      <protection locked="0"/>
    </xf>
    <xf numFmtId="164" fontId="22" fillId="0" borderId="0" xfId="0" applyNumberFormat="1" applyFont="1" applyAlignment="1">
      <alignment horizontal="right" vertical="center"/>
    </xf>
    <xf numFmtId="164" fontId="9" fillId="3" borderId="0" xfId="0" applyNumberFormat="1" applyFont="1" applyFill="1" applyAlignment="1">
      <alignment horizontal="right" vertical="center"/>
    </xf>
    <xf numFmtId="2" fontId="23" fillId="3" borderId="0" xfId="0" applyNumberFormat="1" applyFont="1" applyFill="1" applyAlignment="1" applyProtection="1">
      <alignment horizontal="center" vertical="center"/>
      <protection locked="0"/>
    </xf>
    <xf numFmtId="2" fontId="17" fillId="3" borderId="0" xfId="0" applyNumberFormat="1" applyFont="1" applyFill="1" applyAlignment="1">
      <alignment horizontal="center" vertical="center"/>
    </xf>
    <xf numFmtId="0" fontId="31" fillId="0" borderId="0" xfId="0" applyFont="1" applyAlignment="1">
      <alignment horizontal="left" wrapText="1"/>
    </xf>
    <xf numFmtId="0" fontId="9" fillId="3" borderId="0" xfId="0" applyFont="1" applyFill="1" applyAlignment="1">
      <alignment horizontal="left" vertical="top" wrapText="1"/>
    </xf>
    <xf numFmtId="1" fontId="2" fillId="2" borderId="2" xfId="0" applyNumberFormat="1" applyFont="1" applyFill="1" applyBorder="1" applyAlignment="1" applyProtection="1">
      <alignment horizontal="left"/>
      <protection locked="0"/>
    </xf>
    <xf numFmtId="1" fontId="2" fillId="2" borderId="3" xfId="0" applyNumberFormat="1" applyFont="1" applyFill="1" applyBorder="1" applyAlignment="1" applyProtection="1">
      <alignment horizontal="left"/>
      <protection locked="0"/>
    </xf>
    <xf numFmtId="1" fontId="2" fillId="2" borderId="4" xfId="0" applyNumberFormat="1" applyFont="1" applyFill="1" applyBorder="1" applyAlignment="1" applyProtection="1">
      <alignment horizontal="left"/>
      <protection locked="0"/>
    </xf>
    <xf numFmtId="0" fontId="19" fillId="0" borderId="0" xfId="0" applyFont="1" applyAlignment="1">
      <alignment horizontal="left" vertical="center" wrapText="1"/>
    </xf>
    <xf numFmtId="0" fontId="0" fillId="2" borderId="1" xfId="0" applyFill="1" applyBorder="1" applyAlignment="1" applyProtection="1">
      <alignment horizontal="left" vertical="top" wrapText="1"/>
      <protection locked="0"/>
    </xf>
    <xf numFmtId="0" fontId="10" fillId="0" borderId="6" xfId="0" applyFont="1" applyBorder="1" applyAlignment="1">
      <alignment horizontal="left" vertical="top" wrapText="1"/>
    </xf>
    <xf numFmtId="0" fontId="19" fillId="0" borderId="6" xfId="0" applyFont="1" applyBorder="1" applyAlignment="1">
      <alignment horizontal="left" vertical="top" wrapText="1"/>
    </xf>
    <xf numFmtId="0" fontId="26" fillId="0" borderId="0" xfId="0" applyFont="1" applyAlignment="1">
      <alignment horizontal="left" vertical="center" wrapText="1"/>
    </xf>
    <xf numFmtId="0" fontId="17" fillId="0" borderId="0" xfId="0" applyFont="1" applyAlignment="1">
      <alignment horizontal="right" vertical="center" wrapText="1"/>
    </xf>
    <xf numFmtId="0" fontId="16" fillId="0" borderId="1" xfId="0" applyFont="1" applyBorder="1" applyAlignment="1">
      <alignment horizontal="center" vertical="center" wrapText="1"/>
    </xf>
    <xf numFmtId="0" fontId="19" fillId="0" borderId="13" xfId="0" applyFont="1" applyBorder="1" applyAlignment="1">
      <alignment horizontal="left" vertical="center" wrapText="1"/>
    </xf>
    <xf numFmtId="0" fontId="5" fillId="0" borderId="0" xfId="0" applyFont="1" applyAlignment="1">
      <alignment horizontal="right" wrapText="1"/>
    </xf>
    <xf numFmtId="0" fontId="16" fillId="0" borderId="1" xfId="0" applyFont="1" applyBorder="1" applyAlignment="1">
      <alignment horizontal="center" vertical="center"/>
    </xf>
    <xf numFmtId="1" fontId="9" fillId="4" borderId="1" xfId="0" applyNumberFormat="1" applyFont="1" applyFill="1" applyBorder="1" applyAlignment="1" applyProtection="1">
      <alignment horizontal="center" vertical="center"/>
      <protection locked="0"/>
    </xf>
    <xf numFmtId="14" fontId="2" fillId="2" borderId="1" xfId="0" applyNumberFormat="1" applyFont="1" applyFill="1" applyBorder="1" applyAlignment="1" applyProtection="1">
      <alignment horizontal="center" vertical="center"/>
      <protection locked="0"/>
    </xf>
    <xf numFmtId="0" fontId="40" fillId="0" borderId="8" xfId="0" applyFont="1" applyBorder="1" applyAlignment="1">
      <alignment horizontal="center" vertical="center" wrapText="1"/>
    </xf>
    <xf numFmtId="0" fontId="40" fillId="0" borderId="9" xfId="0" applyFont="1" applyBorder="1" applyAlignment="1">
      <alignment horizontal="center" vertical="center" wrapText="1"/>
    </xf>
    <xf numFmtId="0" fontId="40" fillId="0" borderId="10" xfId="0" applyFont="1" applyBorder="1" applyAlignment="1">
      <alignment horizontal="center" vertical="center" wrapText="1"/>
    </xf>
    <xf numFmtId="0" fontId="1" fillId="0" borderId="1" xfId="0" applyFont="1" applyBorder="1" applyAlignment="1">
      <alignment horizontal="center"/>
    </xf>
    <xf numFmtId="0" fontId="3" fillId="0" borderId="15" xfId="0" applyFont="1" applyBorder="1" applyAlignment="1">
      <alignment horizontal="center" vertical="center" wrapText="1"/>
    </xf>
    <xf numFmtId="0" fontId="3" fillId="0" borderId="6" xfId="0" applyFont="1" applyBorder="1" applyAlignment="1">
      <alignment horizontal="center" vertical="center" wrapText="1"/>
    </xf>
    <xf numFmtId="0" fontId="5" fillId="0" borderId="1" xfId="0" applyFont="1" applyBorder="1" applyAlignment="1">
      <alignment horizontal="center" wrapText="1"/>
    </xf>
  </cellXfs>
  <cellStyles count="1">
    <cellStyle name="Normal" xfId="0" builtinId="0"/>
  </cellStyles>
  <dxfs count="40">
    <dxf>
      <font>
        <b val="0"/>
        <i val="0"/>
        <color theme="1"/>
      </font>
    </dxf>
    <dxf>
      <font>
        <color theme="1"/>
      </font>
      <border>
        <left style="thin">
          <color auto="1"/>
        </left>
        <right style="thin">
          <color auto="1"/>
        </right>
        <top style="thin">
          <color auto="1"/>
        </top>
        <bottom style="thin">
          <color auto="1"/>
        </bottom>
        <vertical/>
        <horizontal/>
      </border>
    </dxf>
    <dxf>
      <font>
        <b/>
        <i val="0"/>
        <color theme="1"/>
      </font>
      <fill>
        <patternFill>
          <bgColor rgb="FFFF0000"/>
        </patternFill>
      </fill>
    </dxf>
    <dxf>
      <font>
        <b/>
        <i val="0"/>
        <color theme="1"/>
      </font>
      <fill>
        <patternFill>
          <bgColor rgb="FFFFFFCC"/>
        </patternFill>
      </fill>
      <border>
        <left style="thin">
          <color auto="1"/>
        </left>
        <right style="thin">
          <color auto="1"/>
        </right>
        <top style="thin">
          <color auto="1"/>
        </top>
        <bottom style="thin">
          <color auto="1"/>
        </bottom>
      </border>
    </dxf>
    <dxf>
      <font>
        <b/>
        <i val="0"/>
        <color theme="1"/>
      </font>
    </dxf>
    <dxf>
      <font>
        <color rgb="FFFF0000"/>
      </font>
      <fill>
        <patternFill>
          <bgColor rgb="FFFFFF00"/>
        </patternFill>
      </fill>
      <border>
        <left style="thin">
          <color auto="1"/>
        </left>
        <right style="thin">
          <color auto="1"/>
        </right>
        <top style="thin">
          <color auto="1"/>
        </top>
        <bottom style="thin">
          <color auto="1"/>
        </bottom>
      </border>
    </dxf>
    <dxf>
      <font>
        <color theme="1"/>
      </font>
      <fill>
        <patternFill>
          <bgColor theme="0" tint="-0.24994659260841701"/>
        </patternFill>
      </fill>
      <border>
        <left style="thin">
          <color auto="1"/>
        </left>
        <right style="thin">
          <color auto="1"/>
        </right>
        <top style="thin">
          <color auto="1"/>
        </top>
        <bottom style="thin">
          <color auto="1"/>
        </bottom>
        <vertical/>
        <horizontal/>
      </border>
    </dxf>
    <dxf>
      <font>
        <color theme="1"/>
      </font>
    </dxf>
    <dxf>
      <font>
        <b/>
        <i val="0"/>
        <color theme="1"/>
      </font>
      <fill>
        <patternFill>
          <bgColor rgb="FFFF0000"/>
        </patternFill>
      </fill>
    </dxf>
    <dxf>
      <font>
        <b/>
        <i val="0"/>
        <color theme="1"/>
      </font>
      <fill>
        <patternFill>
          <bgColor rgb="FFFF0000"/>
        </patternFill>
      </fill>
    </dxf>
    <dxf>
      <font>
        <b/>
        <i val="0"/>
        <color theme="1"/>
      </font>
      <fill>
        <patternFill>
          <fgColor theme="0"/>
          <bgColor theme="0"/>
        </patternFill>
      </fill>
      <border>
        <left style="thin">
          <color auto="1"/>
        </left>
        <right style="thin">
          <color auto="1"/>
        </right>
        <top style="thin">
          <color auto="1"/>
        </top>
        <bottom style="thin">
          <color auto="1"/>
        </bottom>
      </border>
    </dxf>
    <dxf>
      <font>
        <color theme="1"/>
      </font>
      <fill>
        <patternFill>
          <bgColor rgb="FFFFFFCC"/>
        </patternFill>
      </fill>
    </dxf>
    <dxf>
      <fill>
        <patternFill>
          <bgColor rgb="FFFFFFCC"/>
        </patternFill>
      </fill>
      <border>
        <left style="thin">
          <color auto="1"/>
        </left>
        <right style="thin">
          <color auto="1"/>
        </right>
        <top style="thin">
          <color auto="1"/>
        </top>
        <bottom style="thin">
          <color auto="1"/>
        </bottom>
      </border>
    </dxf>
    <dxf>
      <font>
        <color theme="1"/>
      </font>
      <fill>
        <patternFill>
          <bgColor rgb="FFFFFFCC"/>
        </patternFill>
      </fill>
      <border>
        <left style="thin">
          <color auto="1"/>
        </left>
        <right style="thin">
          <color auto="1"/>
        </right>
        <top style="thin">
          <color auto="1"/>
        </top>
        <bottom style="thin">
          <color auto="1"/>
        </bottom>
      </border>
    </dxf>
    <dxf>
      <font>
        <b/>
        <i val="0"/>
        <color theme="1"/>
      </font>
      <fill>
        <patternFill>
          <bgColor rgb="FFFFFFCC"/>
        </patternFill>
      </fill>
      <border>
        <left style="thin">
          <color auto="1"/>
        </left>
        <right style="thin">
          <color auto="1"/>
        </right>
        <top style="thin">
          <color auto="1"/>
        </top>
        <bottom style="thin">
          <color auto="1"/>
        </bottom>
      </border>
    </dxf>
    <dxf>
      <font>
        <b val="0"/>
        <i val="0"/>
        <color theme="1"/>
      </font>
      <fill>
        <patternFill>
          <bgColor rgb="FFFFFFCC"/>
        </patternFill>
      </fill>
      <border>
        <left style="thin">
          <color auto="1"/>
        </left>
        <right style="thin">
          <color auto="1"/>
        </right>
        <top style="thin">
          <color auto="1"/>
        </top>
        <bottom style="thin">
          <color auto="1"/>
        </bottom>
      </border>
    </dxf>
    <dxf>
      <font>
        <b val="0"/>
        <i val="0"/>
        <color auto="1"/>
      </font>
      <fill>
        <patternFill>
          <bgColor rgb="FFFFFFCC"/>
        </patternFill>
      </fill>
      <border>
        <left style="thin">
          <color auto="1"/>
        </left>
        <right style="thin">
          <color auto="1"/>
        </right>
        <top style="thin">
          <color auto="1"/>
        </top>
        <bottom style="thin">
          <color auto="1"/>
        </bottom>
      </border>
    </dxf>
    <dxf>
      <font>
        <color theme="1"/>
      </font>
      <fill>
        <patternFill>
          <bgColor rgb="FFFFFFCC"/>
        </patternFill>
      </fill>
      <border>
        <left style="thin">
          <color auto="1"/>
        </left>
        <right style="thin">
          <color auto="1"/>
        </right>
        <top style="thin">
          <color auto="1"/>
        </top>
        <bottom style="thin">
          <color auto="1"/>
        </bottom>
      </border>
    </dxf>
    <dxf>
      <font>
        <b/>
        <i val="0"/>
        <color theme="1"/>
      </font>
      <fill>
        <patternFill>
          <bgColor theme="0"/>
        </patternFill>
      </fill>
      <border>
        <left style="thin">
          <color auto="1"/>
        </left>
        <right style="thin">
          <color auto="1"/>
        </right>
        <top style="thin">
          <color auto="1"/>
        </top>
        <bottom style="thin">
          <color auto="1"/>
        </bottom>
      </border>
    </dxf>
    <dxf>
      <font>
        <color theme="1"/>
      </font>
      <fill>
        <patternFill>
          <bgColor rgb="FFFFFFCC"/>
        </patternFill>
      </fill>
      <border>
        <left style="thin">
          <color auto="1"/>
        </left>
        <right style="thin">
          <color auto="1"/>
        </right>
        <top style="thin">
          <color auto="1"/>
        </top>
        <bottom style="thin">
          <color auto="1"/>
        </bottom>
      </border>
    </dxf>
    <dxf>
      <font>
        <color theme="1"/>
      </font>
      <fill>
        <patternFill>
          <bgColor rgb="FFFFFFCC"/>
        </patternFill>
      </fill>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border>
    </dxf>
    <dxf>
      <font>
        <b val="0"/>
        <i val="0"/>
        <color theme="1"/>
      </font>
      <fill>
        <patternFill>
          <bgColor rgb="FFFFFFCC"/>
        </patternFill>
      </fill>
      <border>
        <left style="thin">
          <color auto="1"/>
        </left>
        <right style="thin">
          <color auto="1"/>
        </right>
        <top style="thin">
          <color auto="1"/>
        </top>
        <bottom style="thin">
          <color auto="1"/>
        </bottom>
      </border>
    </dxf>
    <dxf>
      <font>
        <b val="0"/>
        <i val="0"/>
        <color theme="1"/>
      </font>
      <fill>
        <patternFill>
          <bgColor rgb="FFFFFFCC"/>
        </patternFill>
      </fill>
      <border>
        <left style="thin">
          <color auto="1"/>
        </left>
        <right style="thin">
          <color auto="1"/>
        </right>
        <top style="thin">
          <color auto="1"/>
        </top>
        <bottom style="thin">
          <color auto="1"/>
        </bottom>
      </border>
    </dxf>
    <dxf>
      <font>
        <b/>
        <i val="0"/>
        <color theme="1"/>
      </font>
      <border>
        <left style="thin">
          <color auto="1"/>
        </left>
        <right style="thin">
          <color auto="1"/>
        </right>
        <top style="thin">
          <color auto="1"/>
        </top>
        <bottom style="thin">
          <color auto="1"/>
        </bottom>
      </border>
    </dxf>
    <dxf>
      <font>
        <color theme="1"/>
      </font>
      <fill>
        <patternFill>
          <bgColor rgb="FFFFFFCC"/>
        </patternFill>
      </fill>
      <border>
        <left style="thin">
          <color auto="1"/>
        </left>
        <right style="thin">
          <color auto="1"/>
        </right>
        <top style="thin">
          <color auto="1"/>
        </top>
        <bottom style="thin">
          <color auto="1"/>
        </bottom>
        <vertical/>
        <horizontal/>
      </border>
    </dxf>
    <dxf>
      <font>
        <b val="0"/>
        <i val="0"/>
        <color theme="1"/>
      </font>
      <fill>
        <patternFill>
          <bgColor rgb="FFFFFFCC"/>
        </patternFill>
      </fill>
    </dxf>
    <dxf>
      <font>
        <color theme="1"/>
      </font>
      <fill>
        <patternFill>
          <bgColor rgb="FFFFFFCC"/>
        </patternFill>
      </fill>
    </dxf>
    <dxf>
      <font>
        <b/>
        <i val="0"/>
        <color rgb="FFFF0000"/>
      </font>
    </dxf>
    <dxf>
      <font>
        <b/>
        <i val="0"/>
        <color theme="1"/>
      </font>
    </dxf>
    <dxf>
      <font>
        <b/>
        <i val="0"/>
      </font>
    </dxf>
    <dxf>
      <font>
        <color theme="0"/>
      </font>
    </dxf>
    <dxf>
      <font>
        <b/>
        <i val="0"/>
        <color theme="1"/>
      </font>
    </dxf>
    <dxf>
      <font>
        <b/>
        <i val="0"/>
        <color theme="1"/>
      </font>
    </dxf>
    <dxf>
      <font>
        <b/>
        <i val="0"/>
        <color theme="1"/>
      </font>
    </dxf>
    <dxf>
      <font>
        <b/>
        <i val="0"/>
        <color theme="1"/>
      </font>
    </dxf>
    <dxf>
      <font>
        <b/>
        <i val="0"/>
        <color theme="1"/>
      </font>
    </dxf>
    <dxf>
      <font>
        <b/>
        <i val="0"/>
        <color theme="1"/>
      </font>
    </dxf>
    <dxf>
      <font>
        <b/>
        <i val="0"/>
        <color theme="1"/>
      </font>
    </dxf>
    <dxf>
      <font>
        <b/>
        <i val="0"/>
        <color theme="1"/>
      </font>
    </dxf>
  </dxfs>
  <tableStyles count="0" defaultTableStyle="TableStyleMedium2" defaultPivotStyle="PivotStyleLight16"/>
  <colors>
    <mruColors>
      <color rgb="FFFFFFCC"/>
      <color rgb="FF0000FF"/>
      <color rgb="FFBDD7EE"/>
      <color rgb="FF99CCFF"/>
      <color rgb="FFFF6D6D"/>
      <color rgb="FFF7C5A3"/>
      <color rgb="FF71FFB1"/>
      <color rgb="FFFFA3A3"/>
      <color rgb="FFFFE181"/>
      <color rgb="FFC6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23/09/relationships/Python" Target="pyth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3252878</xdr:colOff>
      <xdr:row>27</xdr:row>
      <xdr:rowOff>47928</xdr:rowOff>
    </xdr:from>
    <xdr:to>
      <xdr:col>8</xdr:col>
      <xdr:colOff>257595</xdr:colOff>
      <xdr:row>28</xdr:row>
      <xdr:rowOff>551132</xdr:rowOff>
    </xdr:to>
    <xdr:sp macro="" textlink="$R28">
      <xdr:nvSpPr>
        <xdr:cNvPr id="4" name="PackageDescription">
          <a:extLst>
            <a:ext uri="{FF2B5EF4-FFF2-40B4-BE49-F238E27FC236}">
              <a16:creationId xmlns:a16="http://schemas.microsoft.com/office/drawing/2014/main" id="{B97B9B00-978F-A1E9-BF46-3FB24AA48295}"/>
            </a:ext>
          </a:extLst>
        </xdr:cNvPr>
        <xdr:cNvSpPr txBox="1"/>
      </xdr:nvSpPr>
      <xdr:spPr>
        <a:xfrm>
          <a:off x="3252878" y="5074013"/>
          <a:ext cx="3558396" cy="599053"/>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lIns="36000" rtlCol="0" anchor="t"/>
        <a:lstStyle/>
        <a:p>
          <a:fld id="{B10170B8-2E57-48B8-A72E-24CC15457E20}" type="TxLink">
            <a:rPr lang="en-US" sz="800" b="0" i="0" u="none" strike="noStrike">
              <a:solidFill>
                <a:srgbClr val="000000"/>
              </a:solidFill>
              <a:latin typeface="Arial"/>
              <a:cs typeface="Arial"/>
            </a:rPr>
            <a:pPr/>
            <a:t> </a:t>
          </a:fld>
          <a:endParaRPr lang="en-GB" sz="1100"/>
        </a:p>
      </xdr:txBody>
    </xdr:sp>
    <xdr:clientData fPrintsWithSheet="0"/>
  </xdr:twoCellAnchor>
  <xdr:twoCellAnchor>
    <xdr:from>
      <xdr:col>0</xdr:col>
      <xdr:colOff>1581511</xdr:colOff>
      <xdr:row>27</xdr:row>
      <xdr:rowOff>23962</xdr:rowOff>
    </xdr:from>
    <xdr:to>
      <xdr:col>1</xdr:col>
      <xdr:colOff>5992</xdr:colOff>
      <xdr:row>28</xdr:row>
      <xdr:rowOff>179715</xdr:rowOff>
    </xdr:to>
    <xdr:sp macro="" textlink="$R$26">
      <xdr:nvSpPr>
        <xdr:cNvPr id="5" name="Description_of_Package_TextBox">
          <a:extLst>
            <a:ext uri="{FF2B5EF4-FFF2-40B4-BE49-F238E27FC236}">
              <a16:creationId xmlns:a16="http://schemas.microsoft.com/office/drawing/2014/main" id="{04537096-0057-4AB3-976D-1320E88CE15B}"/>
            </a:ext>
          </a:extLst>
        </xdr:cNvPr>
        <xdr:cNvSpPr txBox="1"/>
      </xdr:nvSpPr>
      <xdr:spPr>
        <a:xfrm>
          <a:off x="1581511" y="5235754"/>
          <a:ext cx="1701321" cy="25160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BCD96E3-09F1-49BD-85F7-8B9DA2580A3E}" type="TxLink">
            <a:rPr lang="en-US" sz="1000" b="1" i="0" u="none" strike="noStrike">
              <a:solidFill>
                <a:srgbClr val="000000"/>
              </a:solidFill>
              <a:latin typeface="Arial" panose="020B0604020202020204" pitchFamily="34" charset="0"/>
              <a:ea typeface="Calibri"/>
              <a:cs typeface="Arial" panose="020B0604020202020204" pitchFamily="34" charset="0"/>
            </a:rPr>
            <a:pPr algn="r"/>
            <a:t> </a:t>
          </a:fld>
          <a:endParaRPr lang="en-GB" sz="1100" b="1">
            <a:latin typeface="Arial" panose="020B0604020202020204" pitchFamily="34" charset="0"/>
            <a:cs typeface="Arial" panose="020B0604020202020204" pitchFamily="34" charset="0"/>
          </a:endParaRPr>
        </a:p>
      </xdr:txBody>
    </xdr:sp>
    <xdr:clientData fPrintsWithSheet="0"/>
  </xdr:twoCellAnchor>
  <xdr:twoCellAnchor>
    <xdr:from>
      <xdr:col>4</xdr:col>
      <xdr:colOff>149764</xdr:colOff>
      <xdr:row>19</xdr:row>
      <xdr:rowOff>11980</xdr:rowOff>
    </xdr:from>
    <xdr:to>
      <xdr:col>7</xdr:col>
      <xdr:colOff>425331</xdr:colOff>
      <xdr:row>20</xdr:row>
      <xdr:rowOff>17972</xdr:rowOff>
    </xdr:to>
    <xdr:sp macro="" textlink="$R$21">
      <xdr:nvSpPr>
        <xdr:cNvPr id="2" name="TextBox 1">
          <a:extLst>
            <a:ext uri="{FF2B5EF4-FFF2-40B4-BE49-F238E27FC236}">
              <a16:creationId xmlns:a16="http://schemas.microsoft.com/office/drawing/2014/main" id="{66250133-03F8-CE0D-2F49-C31E79E932C4}"/>
            </a:ext>
          </a:extLst>
        </xdr:cNvPr>
        <xdr:cNvSpPr txBox="1"/>
      </xdr:nvSpPr>
      <xdr:spPr>
        <a:xfrm>
          <a:off x="4540849" y="3174999"/>
          <a:ext cx="1899010" cy="509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1A2647-325F-4A77-B47A-A5885E553C4C}" type="TxLink">
            <a:rPr lang="en-US" sz="900" b="1" i="0" u="none" strike="noStrike">
              <a:solidFill>
                <a:srgbClr val="000000"/>
              </a:solidFill>
              <a:latin typeface="Arial"/>
              <a:cs typeface="Arial"/>
            </a:rPr>
            <a:pPr/>
            <a:t> </a:t>
          </a:fld>
          <a:endParaRPr lang="en-GB" sz="900" b="1"/>
        </a:p>
      </xdr:txBody>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346AC-510D-4372-A868-16363F316682}">
  <sheetPr codeName="Sheet1">
    <pageSetUpPr fitToPage="1"/>
  </sheetPr>
  <dimension ref="A1:AH88"/>
  <sheetViews>
    <sheetView showGridLines="0" tabSelected="1" zoomScale="106" zoomScaleNormal="106" workbookViewId="0">
      <selection activeCell="B20" sqref="B20:D20"/>
    </sheetView>
  </sheetViews>
  <sheetFormatPr defaultRowHeight="13" x14ac:dyDescent="0.3"/>
  <cols>
    <col min="1" max="1" width="46.81640625" customWidth="1"/>
    <col min="2" max="2" width="5.453125" customWidth="1"/>
    <col min="3" max="3" width="5.1796875" customWidth="1"/>
    <col min="4" max="5" width="5.453125" customWidth="1"/>
    <col min="6" max="6" width="1.54296875" customWidth="1"/>
    <col min="7" max="7" width="16.26953125" customWidth="1"/>
    <col min="8" max="8" width="7.7265625" customWidth="1"/>
    <col min="9" max="9" width="15" customWidth="1"/>
    <col min="10" max="10" width="20" customWidth="1"/>
    <col min="11" max="11" width="4.54296875" customWidth="1"/>
    <col min="12" max="12" width="12.54296875" customWidth="1"/>
    <col min="13" max="13" width="19.54296875" style="37" hidden="1" customWidth="1"/>
    <col min="14" max="14" width="10.81640625" style="37" hidden="1" customWidth="1"/>
    <col min="15" max="15" width="14.453125" style="37" hidden="1" customWidth="1"/>
    <col min="16" max="16" width="14.54296875" style="37" hidden="1" customWidth="1"/>
    <col min="17" max="17" width="16.54296875" style="37" hidden="1" customWidth="1"/>
    <col min="18" max="18" width="27.453125" style="37" hidden="1" customWidth="1"/>
    <col min="19" max="19" width="5.1796875" style="37" hidden="1" customWidth="1"/>
    <col min="20" max="20" width="19.1796875" style="37" hidden="1" customWidth="1"/>
    <col min="21" max="21" width="12.1796875" style="37" hidden="1" customWidth="1"/>
    <col min="22" max="22" width="5.1796875" style="37" hidden="1" customWidth="1"/>
    <col min="23" max="23" width="30.81640625" style="37" hidden="1" customWidth="1"/>
    <col min="24" max="30" width="12.1796875" style="37" hidden="1" customWidth="1"/>
    <col min="31" max="31" width="8.81640625" style="37" hidden="1" customWidth="1"/>
    <col min="32" max="32" width="6.54296875" style="37" hidden="1" customWidth="1"/>
    <col min="33" max="33" width="10.54296875" style="37" customWidth="1"/>
    <col min="34" max="34" width="9.453125" customWidth="1"/>
    <col min="35" max="35" width="8.81640625" customWidth="1"/>
    <col min="36" max="36" width="0.54296875" customWidth="1"/>
    <col min="37" max="37" width="9.1796875" customWidth="1"/>
  </cols>
  <sheetData>
    <row r="1" spans="1:34" ht="7" customHeight="1" x14ac:dyDescent="0.35">
      <c r="A1" s="35"/>
      <c r="B1" s="35"/>
      <c r="C1" s="35"/>
      <c r="D1" s="35"/>
      <c r="E1" s="35"/>
      <c r="F1" s="35"/>
      <c r="G1" s="35"/>
      <c r="H1" s="35"/>
      <c r="I1" s="35"/>
      <c r="J1" s="35"/>
      <c r="K1" s="36"/>
      <c r="AH1" s="37"/>
    </row>
    <row r="2" spans="1:34" ht="25.5" thickBot="1" x14ac:dyDescent="0.55000000000000004">
      <c r="A2" s="326" t="s">
        <v>0</v>
      </c>
      <c r="B2" s="326"/>
      <c r="C2" s="326"/>
      <c r="D2" s="326"/>
      <c r="E2" s="326"/>
      <c r="F2" s="326"/>
      <c r="G2" s="326"/>
      <c r="H2" s="326"/>
      <c r="I2" s="326"/>
      <c r="J2" s="326"/>
      <c r="K2" s="36"/>
      <c r="M2" s="38"/>
      <c r="N2" s="38"/>
      <c r="O2" s="38"/>
      <c r="P2" s="38"/>
      <c r="Q2" s="38"/>
      <c r="R2" s="38"/>
      <c r="S2" s="38"/>
      <c r="T2" s="38"/>
      <c r="U2" s="38"/>
      <c r="V2" s="38"/>
      <c r="W2" s="38"/>
      <c r="X2" s="38"/>
      <c r="Y2" s="38"/>
      <c r="Z2" s="38"/>
      <c r="AA2" s="38"/>
      <c r="AB2" s="38"/>
      <c r="AC2" s="38"/>
      <c r="AD2" s="38"/>
      <c r="AE2" s="38"/>
      <c r="AF2" s="38"/>
      <c r="AG2" s="38"/>
      <c r="AH2" s="38"/>
    </row>
    <row r="3" spans="1:34" ht="16" thickBot="1" x14ac:dyDescent="0.4">
      <c r="A3" s="327" t="s">
        <v>382</v>
      </c>
      <c r="B3" s="328"/>
      <c r="C3" s="328"/>
      <c r="D3" s="328"/>
      <c r="E3" s="328"/>
      <c r="F3" s="328"/>
      <c r="G3" s="328"/>
      <c r="H3" s="328"/>
      <c r="I3" s="328"/>
      <c r="J3" s="329"/>
      <c r="K3" s="36"/>
      <c r="M3" s="246" t="s">
        <v>300</v>
      </c>
      <c r="N3" s="325" t="s">
        <v>302</v>
      </c>
      <c r="O3" s="325"/>
      <c r="P3" s="38"/>
      <c r="Q3" s="38"/>
      <c r="R3" s="38"/>
      <c r="S3" s="38"/>
      <c r="T3" s="38"/>
      <c r="U3" s="38"/>
      <c r="V3" s="38"/>
      <c r="W3" s="38"/>
      <c r="X3" s="38"/>
      <c r="Y3" s="38"/>
      <c r="Z3" s="38"/>
      <c r="AA3" s="38"/>
      <c r="AB3" s="38"/>
      <c r="AC3" s="38"/>
      <c r="AD3" s="38"/>
      <c r="AE3" s="38"/>
      <c r="AF3" s="38"/>
      <c r="AG3" s="38"/>
      <c r="AH3" s="38"/>
    </row>
    <row r="4" spans="1:34" ht="6" customHeight="1" x14ac:dyDescent="0.35">
      <c r="A4" s="39"/>
      <c r="B4" s="39"/>
      <c r="C4" s="39"/>
      <c r="D4" s="39"/>
      <c r="E4" s="39"/>
      <c r="F4" s="39"/>
      <c r="G4" s="39"/>
      <c r="H4" s="39"/>
      <c r="I4" s="39"/>
      <c r="J4" s="39"/>
      <c r="K4" s="36"/>
      <c r="M4" s="38"/>
      <c r="N4" s="38"/>
      <c r="O4" s="38"/>
      <c r="P4" s="38"/>
      <c r="Q4" s="38"/>
      <c r="R4" s="38"/>
      <c r="S4" s="38"/>
      <c r="T4" s="38"/>
      <c r="U4" s="38"/>
      <c r="V4" s="38"/>
      <c r="W4" s="38"/>
      <c r="X4" s="38"/>
      <c r="Y4" s="38"/>
      <c r="Z4" s="38"/>
      <c r="AA4" s="38"/>
      <c r="AB4" s="38"/>
      <c r="AC4" s="38"/>
      <c r="AD4" s="38"/>
      <c r="AE4" s="38"/>
      <c r="AF4" s="38"/>
      <c r="AG4" s="38"/>
      <c r="AH4" s="38"/>
    </row>
    <row r="5" spans="1:34" ht="29.15" customHeight="1" x14ac:dyDescent="0.35">
      <c r="A5" s="252" t="s">
        <v>328</v>
      </c>
      <c r="B5" s="330"/>
      <c r="C5" s="330"/>
      <c r="D5" s="330"/>
      <c r="E5" s="330"/>
      <c r="F5" s="330"/>
      <c r="G5" s="330"/>
      <c r="H5" s="330"/>
      <c r="I5" s="330"/>
      <c r="J5" s="330"/>
      <c r="K5" s="36"/>
      <c r="M5" s="38"/>
      <c r="N5" s="38"/>
      <c r="O5" s="38"/>
      <c r="P5" s="38"/>
      <c r="Q5" s="38"/>
      <c r="R5" s="38"/>
      <c r="S5" s="38"/>
      <c r="T5" s="38"/>
      <c r="U5" s="38"/>
      <c r="V5" s="38"/>
      <c r="W5" s="38"/>
      <c r="X5" s="38"/>
      <c r="Y5" s="38"/>
      <c r="Z5" s="38"/>
      <c r="AA5" s="38"/>
      <c r="AB5" s="38"/>
      <c r="AC5" s="38"/>
      <c r="AD5" s="38"/>
      <c r="AE5" s="38"/>
      <c r="AF5" s="38"/>
      <c r="AG5" s="38"/>
      <c r="AH5" s="38"/>
    </row>
    <row r="6" spans="1:34" ht="9" customHeight="1" x14ac:dyDescent="0.35">
      <c r="A6" s="40"/>
      <c r="B6" s="41"/>
      <c r="C6" s="41"/>
      <c r="D6" s="41"/>
      <c r="E6" s="41"/>
      <c r="F6" s="41"/>
      <c r="G6" s="41"/>
      <c r="H6" s="41"/>
      <c r="I6" s="39"/>
      <c r="J6" s="39"/>
      <c r="K6" s="36"/>
      <c r="M6" s="38"/>
      <c r="N6" s="38"/>
      <c r="O6" s="38"/>
      <c r="P6" s="38"/>
      <c r="Q6" s="38"/>
      <c r="R6" s="38"/>
      <c r="S6" s="38"/>
      <c r="T6" s="38"/>
      <c r="U6" s="38"/>
      <c r="V6" s="38"/>
      <c r="W6" s="38"/>
      <c r="X6" s="38"/>
      <c r="Y6" s="38"/>
      <c r="Z6" s="38"/>
      <c r="AA6" s="38"/>
      <c r="AB6" s="38"/>
      <c r="AC6" s="38"/>
      <c r="AD6" s="38"/>
      <c r="AE6" s="38"/>
      <c r="AF6" s="38"/>
      <c r="AG6" s="38"/>
      <c r="AH6" s="38"/>
    </row>
    <row r="7" spans="1:34" ht="15.5" x14ac:dyDescent="0.35">
      <c r="A7" s="40" t="s">
        <v>1</v>
      </c>
      <c r="B7" s="331"/>
      <c r="C7" s="332"/>
      <c r="D7" s="332"/>
      <c r="E7" s="332"/>
      <c r="F7" s="332"/>
      <c r="G7" s="332"/>
      <c r="H7" s="333"/>
      <c r="K7" s="36"/>
      <c r="M7" s="38"/>
      <c r="N7" s="38"/>
      <c r="O7" s="38"/>
      <c r="P7" s="38"/>
      <c r="Q7" s="38"/>
      <c r="R7" s="38"/>
      <c r="S7" s="38"/>
      <c r="T7" s="38"/>
      <c r="U7" s="38"/>
      <c r="V7" s="38"/>
      <c r="W7" s="38"/>
      <c r="X7" s="38"/>
      <c r="Y7" s="38"/>
      <c r="Z7" s="38"/>
      <c r="AA7" s="38"/>
      <c r="AB7" s="38"/>
      <c r="AC7" s="38"/>
      <c r="AD7" s="38"/>
      <c r="AE7" s="38"/>
      <c r="AF7" s="38"/>
      <c r="AG7" s="38"/>
      <c r="AH7" s="38"/>
    </row>
    <row r="8" spans="1:34" ht="8.15" customHeight="1" x14ac:dyDescent="0.35">
      <c r="A8" s="40"/>
      <c r="B8" s="39"/>
      <c r="C8" s="39"/>
      <c r="D8" s="39"/>
      <c r="E8" s="39"/>
      <c r="F8" s="39"/>
      <c r="G8" s="39"/>
      <c r="H8" s="39"/>
      <c r="I8" s="39"/>
      <c r="J8" s="39"/>
      <c r="K8" s="36"/>
      <c r="M8" s="38"/>
      <c r="N8" s="38"/>
      <c r="O8" s="38"/>
      <c r="P8" s="38"/>
      <c r="Q8" s="38"/>
      <c r="R8" s="38"/>
      <c r="S8" s="38"/>
      <c r="T8" s="38"/>
      <c r="U8" s="38"/>
      <c r="V8" s="38"/>
      <c r="W8" s="38"/>
      <c r="X8" s="38"/>
      <c r="Y8" s="38"/>
      <c r="Z8" s="38"/>
      <c r="AA8" s="38"/>
      <c r="AB8" s="38"/>
      <c r="AC8" s="38"/>
      <c r="AD8" s="38"/>
      <c r="AE8" s="38"/>
      <c r="AF8" s="38"/>
      <c r="AG8" s="38"/>
      <c r="AH8" s="38"/>
    </row>
    <row r="9" spans="1:34" ht="15.5" x14ac:dyDescent="0.35">
      <c r="A9" s="40" t="s">
        <v>85</v>
      </c>
      <c r="B9" s="331"/>
      <c r="C9" s="332"/>
      <c r="D9" s="332"/>
      <c r="E9" s="332"/>
      <c r="F9" s="332"/>
      <c r="G9" s="332"/>
      <c r="H9" s="332"/>
      <c r="I9" s="332"/>
      <c r="J9" s="333"/>
      <c r="K9" s="36"/>
      <c r="M9" s="38"/>
      <c r="N9" s="38"/>
      <c r="O9" s="38"/>
      <c r="P9" s="38"/>
      <c r="Q9" s="38"/>
      <c r="R9" s="38"/>
      <c r="S9" s="38"/>
      <c r="T9" s="38"/>
      <c r="U9" s="38"/>
      <c r="V9" s="38"/>
      <c r="W9" s="38"/>
      <c r="X9" s="38"/>
      <c r="Y9" s="38"/>
      <c r="Z9" s="38"/>
      <c r="AA9" s="38"/>
      <c r="AB9" s="38"/>
      <c r="AC9" s="38"/>
      <c r="AD9" s="38"/>
      <c r="AE9" s="38"/>
      <c r="AF9" s="38"/>
      <c r="AG9" s="38"/>
      <c r="AH9" s="38"/>
    </row>
    <row r="10" spans="1:34" ht="7.5" customHeight="1" x14ac:dyDescent="0.35">
      <c r="A10" s="40"/>
      <c r="I10" s="39"/>
      <c r="J10" s="39"/>
      <c r="K10" s="36"/>
      <c r="M10" s="38"/>
      <c r="N10" s="38"/>
      <c r="O10" s="38"/>
      <c r="P10" s="38"/>
      <c r="Q10" s="38"/>
      <c r="R10" s="38"/>
      <c r="S10" s="38"/>
      <c r="T10" s="38"/>
      <c r="U10" s="38"/>
      <c r="V10" s="38"/>
      <c r="W10" s="38"/>
      <c r="X10" s="38"/>
      <c r="Y10" s="38"/>
      <c r="Z10" s="38"/>
      <c r="AA10" s="38"/>
      <c r="AB10" s="38"/>
      <c r="AC10" s="38"/>
      <c r="AD10" s="38"/>
      <c r="AE10" s="38"/>
      <c r="AF10" s="38"/>
      <c r="AG10" s="38"/>
      <c r="AH10" s="38"/>
    </row>
    <row r="11" spans="1:34" ht="15.5" x14ac:dyDescent="0.35">
      <c r="A11" s="40" t="s">
        <v>69</v>
      </c>
      <c r="B11" s="343"/>
      <c r="C11" s="344"/>
      <c r="D11" s="344"/>
      <c r="E11" s="344"/>
      <c r="F11" s="344"/>
      <c r="G11" s="345"/>
      <c r="I11" s="39"/>
      <c r="J11" s="39"/>
      <c r="K11" s="36"/>
      <c r="M11" s="38"/>
      <c r="N11" s="38"/>
      <c r="O11" s="38"/>
      <c r="P11" s="38"/>
      <c r="Q11" s="38"/>
      <c r="R11" s="38"/>
      <c r="S11" s="38"/>
      <c r="T11" s="38"/>
      <c r="U11" s="38"/>
      <c r="V11" s="38"/>
      <c r="W11" s="38"/>
      <c r="X11" s="38"/>
      <c r="Y11" s="38"/>
      <c r="Z11" s="38"/>
      <c r="AA11" s="38"/>
      <c r="AB11" s="38"/>
      <c r="AC11" s="38"/>
      <c r="AD11" s="38"/>
      <c r="AE11" s="38"/>
      <c r="AF11" s="38"/>
      <c r="AG11" s="38"/>
      <c r="AH11" s="38"/>
    </row>
    <row r="12" spans="1:34" ht="8.15" customHeight="1" x14ac:dyDescent="0.35">
      <c r="A12" s="39"/>
      <c r="B12" s="39"/>
      <c r="C12" s="39"/>
      <c r="D12" s="39"/>
      <c r="E12" s="39"/>
      <c r="F12" s="39"/>
      <c r="G12" s="39"/>
      <c r="H12" s="39"/>
      <c r="I12" s="39"/>
      <c r="J12" s="39"/>
      <c r="K12" s="36"/>
      <c r="M12" s="38"/>
      <c r="N12" s="38"/>
      <c r="O12" s="38"/>
      <c r="P12" s="38"/>
      <c r="Q12" s="38"/>
      <c r="R12" s="38"/>
      <c r="S12" s="38"/>
      <c r="T12" s="38"/>
      <c r="U12" s="38"/>
      <c r="V12" s="38"/>
      <c r="W12" s="38"/>
      <c r="X12" s="38"/>
      <c r="Y12" s="38"/>
      <c r="Z12" s="38"/>
      <c r="AA12" s="38"/>
      <c r="AB12" s="38"/>
      <c r="AC12" s="38"/>
      <c r="AD12" s="38"/>
      <c r="AE12" s="38"/>
      <c r="AF12" s="38"/>
      <c r="AG12" s="38"/>
      <c r="AH12" s="38"/>
    </row>
    <row r="13" spans="1:34" ht="18" x14ac:dyDescent="0.3">
      <c r="A13" s="346" t="s">
        <v>79</v>
      </c>
      <c r="B13" s="346"/>
      <c r="C13" s="346"/>
      <c r="D13" s="346"/>
      <c r="E13" s="346"/>
      <c r="F13" s="346"/>
      <c r="G13" s="346"/>
      <c r="H13" s="346"/>
      <c r="I13" s="346"/>
      <c r="J13" s="346"/>
      <c r="K13" s="36"/>
      <c r="AH13" s="37"/>
    </row>
    <row r="14" spans="1:34" ht="2.15" customHeight="1" x14ac:dyDescent="0.3">
      <c r="A14" s="348"/>
      <c r="B14" s="349"/>
      <c r="C14" s="349"/>
      <c r="D14" s="349"/>
      <c r="E14" s="349"/>
      <c r="F14" s="349"/>
      <c r="G14" s="349"/>
      <c r="H14" s="349"/>
      <c r="I14" s="349"/>
      <c r="J14" s="349"/>
      <c r="K14" s="36"/>
      <c r="AH14" s="37"/>
    </row>
    <row r="15" spans="1:34" x14ac:dyDescent="0.3">
      <c r="A15" s="347"/>
      <c r="B15" s="347"/>
      <c r="C15" s="347"/>
      <c r="D15" s="347"/>
      <c r="E15" s="347"/>
      <c r="F15" s="347"/>
      <c r="G15" s="347"/>
      <c r="H15" s="347"/>
      <c r="I15" s="347"/>
      <c r="J15" s="347"/>
      <c r="K15" s="36"/>
      <c r="AH15" s="37"/>
    </row>
    <row r="16" spans="1:34" x14ac:dyDescent="0.3">
      <c r="A16" s="347"/>
      <c r="B16" s="347"/>
      <c r="C16" s="347"/>
      <c r="D16" s="347"/>
      <c r="E16" s="347"/>
      <c r="F16" s="347"/>
      <c r="G16" s="347"/>
      <c r="H16" s="347"/>
      <c r="I16" s="347"/>
      <c r="J16" s="347"/>
      <c r="K16" s="36"/>
      <c r="AE16" s="42"/>
      <c r="AF16" s="42"/>
      <c r="AG16" s="42"/>
      <c r="AH16" s="37"/>
    </row>
    <row r="17" spans="1:34" ht="31.5" customHeight="1" x14ac:dyDescent="0.3">
      <c r="A17" s="347"/>
      <c r="B17" s="347"/>
      <c r="C17" s="347"/>
      <c r="D17" s="347"/>
      <c r="E17" s="347"/>
      <c r="F17" s="347"/>
      <c r="G17" s="347"/>
      <c r="H17" s="347"/>
      <c r="I17" s="347"/>
      <c r="J17" s="347"/>
      <c r="K17" s="36"/>
      <c r="L17" s="229"/>
      <c r="M17" s="321" t="s">
        <v>160</v>
      </c>
      <c r="N17" s="321"/>
      <c r="O17" s="321" t="s">
        <v>161</v>
      </c>
      <c r="P17" s="321"/>
      <c r="Q17" s="355" t="s">
        <v>89</v>
      </c>
      <c r="R17" s="355"/>
      <c r="T17" s="352" t="s">
        <v>88</v>
      </c>
      <c r="U17" s="352"/>
      <c r="W17" s="119" t="s">
        <v>260</v>
      </c>
      <c r="X17" s="52"/>
      <c r="AE17" s="42"/>
      <c r="AF17" s="42"/>
      <c r="AG17" s="42"/>
      <c r="AH17" s="37"/>
    </row>
    <row r="18" spans="1:34" ht="8.5" customHeight="1" x14ac:dyDescent="0.3">
      <c r="K18" s="36"/>
      <c r="AE18" s="42"/>
      <c r="AF18" s="42"/>
      <c r="AG18" s="42"/>
      <c r="AH18" s="37"/>
    </row>
    <row r="19" spans="1:34" ht="4.5" hidden="1" customHeight="1" x14ac:dyDescent="0.3">
      <c r="K19" s="36"/>
      <c r="AH19" s="37"/>
    </row>
    <row r="20" spans="1:34" ht="39.75" customHeight="1" x14ac:dyDescent="0.3">
      <c r="A20" s="43" t="s">
        <v>67</v>
      </c>
      <c r="B20" s="357"/>
      <c r="C20" s="357"/>
      <c r="D20" s="357"/>
      <c r="I20" s="350" t="str">
        <f>IF(U20="Error","Error! Date of package change is before date package originally started!","")</f>
        <v/>
      </c>
      <c r="J20" s="350"/>
      <c r="K20" s="36"/>
      <c r="Q20" s="44" t="s">
        <v>154</v>
      </c>
      <c r="R20" s="45" t="str">
        <f>IF(B20="","",(LOOKUP(B20,Lookup!K2:K4,Lookup!M2:M4)))</f>
        <v/>
      </c>
      <c r="T20" s="46" t="s">
        <v>130</v>
      </c>
      <c r="U20" s="45" t="str">
        <f>IF(AND(B20&gt;0,B22&gt;0),IF(B22&lt;B20,"Error","Y"),"N")</f>
        <v>N</v>
      </c>
      <c r="W20" s="129" t="s">
        <v>259</v>
      </c>
      <c r="X20" s="129" t="b">
        <f>B20&gt;=Lookup!$K$4</f>
        <v>0</v>
      </c>
      <c r="AE20"/>
      <c r="AH20" s="37"/>
    </row>
    <row r="21" spans="1:34" ht="11.15" customHeight="1" x14ac:dyDescent="0.3">
      <c r="G21" s="350" t="str">
        <f ca="1">(IF(U22="Error",Lookup!$D$3,(IF(U24="Error",Lookup!$D$4,""))))</f>
        <v/>
      </c>
      <c r="H21" s="350"/>
      <c r="I21" s="350"/>
      <c r="J21" s="350"/>
      <c r="K21" s="36"/>
      <c r="Q21" s="52" t="s">
        <v>281</v>
      </c>
      <c r="R21" s="67" t="str">
        <f>IF(X20=TRUE,"This package will come under the new CSE Multi Provider framework.","")</f>
        <v/>
      </c>
      <c r="T21" s="47"/>
      <c r="AE21"/>
      <c r="AH21" s="37"/>
    </row>
    <row r="22" spans="1:34" ht="33" customHeight="1" x14ac:dyDescent="0.3">
      <c r="A22" s="48" t="s">
        <v>50</v>
      </c>
      <c r="B22" s="334"/>
      <c r="C22" s="334"/>
      <c r="D22" s="334"/>
      <c r="G22" s="350"/>
      <c r="H22" s="350"/>
      <c r="I22" s="350"/>
      <c r="J22" s="350"/>
      <c r="K22" s="36"/>
      <c r="M22"/>
      <c r="N22"/>
      <c r="Q22" s="50" t="s">
        <v>25</v>
      </c>
      <c r="R22" s="51" t="str">
        <f>R20&amp;"_Support"</f>
        <v>_Support</v>
      </c>
      <c r="T22" s="46" t="s">
        <v>33</v>
      </c>
      <c r="U22" s="45" t="str">
        <f>IF(AND(B20&gt;0,B22&gt;0,U20="Y"),IF(B22&lt;Lookup!$L$7,"Error","Y"),"N")</f>
        <v>N</v>
      </c>
      <c r="W22" s="46" t="s">
        <v>91</v>
      </c>
      <c r="X22" s="45" t="b">
        <f>B20&gt;0</f>
        <v>0</v>
      </c>
      <c r="AE22"/>
      <c r="AH22" s="37"/>
    </row>
    <row r="23" spans="1:34" ht="18" hidden="1" customHeight="1" x14ac:dyDescent="0.3">
      <c r="K23" s="36"/>
      <c r="N23"/>
      <c r="T23"/>
      <c r="U23"/>
      <c r="AE23"/>
      <c r="AH23" s="37"/>
    </row>
    <row r="24" spans="1:34" ht="29.5" hidden="1" customHeight="1" x14ac:dyDescent="0.3">
      <c r="A24" s="49" t="s">
        <v>136</v>
      </c>
      <c r="B24" s="336" t="s">
        <v>146</v>
      </c>
      <c r="C24" s="336"/>
      <c r="D24" s="336"/>
      <c r="E24" s="336"/>
      <c r="K24" s="36"/>
      <c r="N24"/>
      <c r="Q24" s="44" t="s">
        <v>138</v>
      </c>
      <c r="R24" s="45" t="str">
        <f>IF(B22&gt;0,"Standard_NonStandard","")</f>
        <v/>
      </c>
      <c r="T24" s="46" t="s">
        <v>305</v>
      </c>
      <c r="U24" s="45">
        <f ca="1">IF(AND(B20&gt;0,B22&gt;0),(IF(AND(COUNTIF(INDIRECT(R22),B27)=0,B27&lt;&gt;""),"Error","Y")),0)</f>
        <v>0</v>
      </c>
      <c r="W24" s="235" t="s">
        <v>143</v>
      </c>
      <c r="X24" s="235" t="b">
        <f>AND(X22=TRUE,B22&gt;0)</f>
        <v>0</v>
      </c>
      <c r="AE24"/>
      <c r="AH24" s="37"/>
    </row>
    <row r="25" spans="1:34" ht="5.15" customHeight="1" x14ac:dyDescent="0.3">
      <c r="A25" s="49"/>
      <c r="K25" s="36"/>
      <c r="N25"/>
      <c r="T25"/>
      <c r="U25"/>
      <c r="W25"/>
      <c r="X25"/>
      <c r="AE25"/>
      <c r="AH25" s="37"/>
    </row>
    <row r="26" spans="1:34" ht="9.65" customHeight="1" x14ac:dyDescent="0.3">
      <c r="A26" s="49"/>
      <c r="C26" s="232"/>
      <c r="D26" s="232"/>
      <c r="E26" s="232"/>
      <c r="K26" s="36"/>
      <c r="N26"/>
      <c r="Q26" s="53" t="s">
        <v>253</v>
      </c>
      <c r="R26" s="45" t="str">
        <f ca="1">IF(AND(X28=TRUE,X29=TRUE),"Description of Package Type:","")</f>
        <v/>
      </c>
      <c r="T26"/>
      <c r="U26"/>
      <c r="AE26"/>
      <c r="AH26" s="37"/>
    </row>
    <row r="27" spans="1:34" ht="40" customHeight="1" x14ac:dyDescent="0.3">
      <c r="A27" s="49" t="s">
        <v>2</v>
      </c>
      <c r="B27" s="310"/>
      <c r="C27" s="310"/>
      <c r="D27" s="310"/>
      <c r="E27" s="310"/>
      <c r="F27" s="310"/>
      <c r="G27" s="310"/>
      <c r="J27" s="25"/>
      <c r="K27" s="173"/>
      <c r="M27" s="44" t="s">
        <v>375</v>
      </c>
      <c r="N27" s="45" t="str">
        <f>IF(B27&lt;&gt;"",IF(ISERROR((VLOOKUP(R29,Lookup!$V$3:$X$14,3,FALSE))),"",(VLOOKUP(R29,Lookup!$V$3:$X$14,3,FALSE))),"")</f>
        <v/>
      </c>
      <c r="Q27" s="53" t="s">
        <v>282</v>
      </c>
      <c r="R27" s="44" t="str">
        <f ca="1">IF(X28=TRUE,R22&amp;"_Description","")</f>
        <v/>
      </c>
      <c r="T27" s="46" t="s">
        <v>290</v>
      </c>
      <c r="U27" s="45" t="str">
        <f>IF(B27&lt;&gt;"","Y","N")</f>
        <v>N</v>
      </c>
      <c r="W27" s="46" t="s">
        <v>92</v>
      </c>
      <c r="X27" s="45" t="b">
        <f ca="1">AND(((COUNTIF(U20:U24,"Y"))&gt;=2),B24&lt;&gt;"")</f>
        <v>0</v>
      </c>
      <c r="AE27"/>
      <c r="AG27"/>
    </row>
    <row r="28" spans="1:34" ht="7.5" customHeight="1" x14ac:dyDescent="0.3">
      <c r="A28" s="49"/>
      <c r="K28" s="173"/>
      <c r="M28" s="231"/>
      <c r="N28" s="55"/>
      <c r="Q28" s="52" t="s">
        <v>158</v>
      </c>
      <c r="R28" s="230" t="str">
        <f ca="1">IF(AND(X28=TRUE,X29=TRUE),IF(ISERROR(VLOOKUP(B27,INDIRECT(R27),2,FALSE)),"",VLOOKUP(B27,INDIRECT(R27),2,FALSE)),"")</f>
        <v/>
      </c>
      <c r="W28" s="193" t="s">
        <v>238</v>
      </c>
      <c r="X28" s="193" t="b">
        <f ca="1">AND(X27=TRUE,U27="Y")</f>
        <v>0</v>
      </c>
      <c r="AE28"/>
      <c r="AG28"/>
    </row>
    <row r="29" spans="1:34" ht="49" customHeight="1" x14ac:dyDescent="0.3">
      <c r="A29" s="49"/>
      <c r="K29" s="36"/>
      <c r="Q29" s="46" t="s">
        <v>234</v>
      </c>
      <c r="R29" s="44" t="str">
        <f>R20&amp;B27</f>
        <v/>
      </c>
      <c r="T29"/>
      <c r="U29"/>
      <c r="W29" s="171" t="s">
        <v>144</v>
      </c>
      <c r="X29" s="172" t="b">
        <f ca="1">AND(COUNTIF(U20:U27,"Y")&gt;=4,B24="Standard Rate")</f>
        <v>0</v>
      </c>
      <c r="AE29"/>
      <c r="AH29" s="37"/>
    </row>
    <row r="30" spans="1:34" ht="37.5" customHeight="1" x14ac:dyDescent="0.3">
      <c r="A30" s="66" t="s">
        <v>148</v>
      </c>
      <c r="B30" s="302"/>
      <c r="C30" s="302"/>
      <c r="D30" s="302"/>
      <c r="E30" s="302"/>
      <c r="F30" s="302"/>
      <c r="G30" s="302"/>
      <c r="H30" s="324" t="str">
        <f>IF(U30="Error","Error! Reselect the support type or the provider, or edit the original start date","")</f>
        <v/>
      </c>
      <c r="I30" s="324"/>
      <c r="J30" s="324"/>
      <c r="K30" s="36"/>
      <c r="M30" s="45" t="s">
        <v>149</v>
      </c>
      <c r="N30" s="45">
        <f>IF(B24="Standard Rate",B30,IF(B24="Non-Standard Rate",B32,""))</f>
        <v>0</v>
      </c>
      <c r="Q30" s="53" t="s">
        <v>90</v>
      </c>
      <c r="R30" s="46" t="str">
        <f>IF(ISERROR(VLOOKUP((R20&amp;B27),Lookup!$V$3:$W$14,2,FALSE)),"Error",(VLOOKUP((R20&amp;B27),Lookup!$V$3:$W$14,2,FALSE)))</f>
        <v>Error</v>
      </c>
      <c r="T30" s="44" t="s">
        <v>289</v>
      </c>
      <c r="U30" s="45" t="str">
        <f>IF(B24="Standard Rate",(IF(Select_Provider="","",(IF((COUNTIF(U20:U27,"Y"))&gt;=4,(IF((COUNTIF(Rates!$D$3:$D$386,R33))&gt;0,"Y","Error")))))),"")</f>
        <v/>
      </c>
      <c r="W30" s="169" t="s">
        <v>145</v>
      </c>
      <c r="X30" s="170" t="b">
        <f>AND(X24=TRUE,B24="Non-Standard Rate",X78=FALSE)</f>
        <v>0</v>
      </c>
      <c r="AE30"/>
      <c r="AH30" s="37"/>
    </row>
    <row r="31" spans="1:34" ht="35.15" hidden="1" customHeight="1" x14ac:dyDescent="0.35">
      <c r="H31" s="54"/>
      <c r="K31" s="36"/>
      <c r="T31" s="53" t="s">
        <v>131</v>
      </c>
      <c r="U31" s="233" t="str">
        <f ca="1">IF(B24="Standard Rate",(IF(COUNTIF($U$20:$U$30,"Y")&gt;=4,(IF(B30&lt;&gt;"",(IF(R30="Error","Error","Y")),"Y")),"")),IF(B24="Non-Standard Rate",(IF(B32&lt;&gt;"","Y",""))))</f>
        <v/>
      </c>
      <c r="AE31"/>
    </row>
    <row r="32" spans="1:34" ht="17.149999999999999" customHeight="1" x14ac:dyDescent="0.35">
      <c r="A32" s="66" t="s">
        <v>294</v>
      </c>
      <c r="B32" s="319"/>
      <c r="C32" s="319"/>
      <c r="D32" s="319"/>
      <c r="E32" s="319"/>
      <c r="F32" s="319"/>
      <c r="G32" s="319"/>
      <c r="H32" s="54"/>
      <c r="K32" s="36"/>
      <c r="T32" s="234" t="s">
        <v>351</v>
      </c>
      <c r="U32" s="235" t="str">
        <f ca="1">IF(B24="Standard Rate",(IF((COUNTIF(U20:U31,"Y"))=6,"Y","N")),"")</f>
        <v>N</v>
      </c>
      <c r="Y32" s="55"/>
      <c r="AE32"/>
      <c r="AH32" s="37"/>
    </row>
    <row r="33" spans="1:34" ht="21.65" customHeight="1" x14ac:dyDescent="0.35">
      <c r="A33" s="66" t="s">
        <v>3</v>
      </c>
      <c r="B33" s="303">
        <f ca="1">IF(X34=TRUE,(INDEX(Rates!$F$3:$F$366,MATCH(R33,Rates!$D$3:$D$366,0))),0)</f>
        <v>0</v>
      </c>
      <c r="C33" s="304"/>
      <c r="F33" s="128"/>
      <c r="H33" s="54"/>
      <c r="J33" s="322" t="s">
        <v>21</v>
      </c>
      <c r="K33" s="56"/>
      <c r="Q33" s="114" t="s">
        <v>87</v>
      </c>
      <c r="R33" s="52" t="str">
        <f>R20&amp;B27&amp;B30</f>
        <v/>
      </c>
      <c r="T33" s="234" t="s">
        <v>352</v>
      </c>
      <c r="U33" s="282" t="str">
        <f>IF(B24="Non-Standard Rate",(IF((COUNTIF(U20:U27,"Y"))=4,"Y","N")),"")</f>
        <v/>
      </c>
      <c r="AE33"/>
      <c r="AH33" s="37"/>
    </row>
    <row r="34" spans="1:34" ht="16.5" customHeight="1" x14ac:dyDescent="0.3">
      <c r="A34" s="66" t="s">
        <v>140</v>
      </c>
      <c r="B34" s="335"/>
      <c r="C34" s="335"/>
      <c r="J34" s="322"/>
      <c r="K34" s="36"/>
      <c r="M34" s="52" t="s">
        <v>142</v>
      </c>
      <c r="N34" s="92">
        <f ca="1">IF(X29=TRUE,B33,IF(X30=TRUE,B34,0))</f>
        <v>0</v>
      </c>
      <c r="T34"/>
      <c r="U34"/>
      <c r="W34" s="1" t="s">
        <v>139</v>
      </c>
      <c r="X34" s="1" t="b">
        <f ca="1">AND(COUNTIF($U$20:$U$31,"Y")&gt;=6,B24="Standard Rate",B30&lt;&gt;"",X78=FALSE)</f>
        <v>0</v>
      </c>
      <c r="AE34"/>
      <c r="AF34" s="59"/>
      <c r="AG34" s="59"/>
      <c r="AH34" s="37"/>
    </row>
    <row r="35" spans="1:34" ht="8.15" customHeight="1" x14ac:dyDescent="0.3">
      <c r="J35" s="323"/>
      <c r="K35" s="36"/>
      <c r="W35" s="1" t="s">
        <v>141</v>
      </c>
      <c r="X35" s="52" t="b">
        <f ca="1">AND(COUNTIF($U$20:$U$31,"Y")&gt;=5,B24="Non-Standard Rate",X78=FALSE)</f>
        <v>0</v>
      </c>
      <c r="AH35" s="37"/>
    </row>
    <row r="36" spans="1:34" ht="27" customHeight="1" x14ac:dyDescent="0.35">
      <c r="A36" s="48" t="str">
        <f ca="1">IF(X38=TRUE,"Total Number of 1:1 Hours per Week:","")</f>
        <v/>
      </c>
      <c r="B36" s="339"/>
      <c r="C36" s="339"/>
      <c r="E36" s="124"/>
      <c r="H36" s="120" t="s">
        <v>83</v>
      </c>
      <c r="I36" s="109"/>
      <c r="J36" s="113" t="str">
        <f ca="1">IF(P36&gt;0,P36,"")</f>
        <v/>
      </c>
      <c r="K36" s="36"/>
      <c r="M36"/>
      <c r="N36"/>
      <c r="O36" s="46" t="s">
        <v>105</v>
      </c>
      <c r="P36" s="60">
        <f ca="1">IF(OR(U32="Y",U33="Y"),B36*N34,0)</f>
        <v>0</v>
      </c>
      <c r="Q36" s="38"/>
      <c r="R36" s="38"/>
      <c r="S36" s="38"/>
      <c r="T36"/>
      <c r="U36"/>
      <c r="V36" s="38"/>
      <c r="W36"/>
      <c r="X36"/>
      <c r="Y36" s="38"/>
      <c r="Z36" s="38"/>
      <c r="AA36" s="38"/>
      <c r="AB36" s="38"/>
      <c r="AC36" s="38"/>
      <c r="AD36" s="38"/>
      <c r="AH36" s="37"/>
    </row>
    <row r="37" spans="1:34" ht="9" customHeight="1" x14ac:dyDescent="0.35">
      <c r="A37" s="62"/>
      <c r="G37" s="39"/>
      <c r="H37" s="39"/>
      <c r="I37" s="39"/>
      <c r="J37" s="39"/>
      <c r="K37" s="36"/>
      <c r="M37" s="38"/>
      <c r="N37"/>
      <c r="P37" s="38"/>
      <c r="Q37" s="38"/>
      <c r="R37" s="38"/>
      <c r="S37" s="38"/>
      <c r="T37"/>
      <c r="U37"/>
      <c r="V37" s="38"/>
      <c r="Y37" s="38"/>
      <c r="Z37" s="38"/>
      <c r="AA37" s="38"/>
      <c r="AB37" s="38"/>
      <c r="AC37" s="38"/>
      <c r="AD37" s="38"/>
      <c r="AE37" s="38"/>
      <c r="AF37" s="38"/>
      <c r="AG37" s="38"/>
      <c r="AH37" s="38"/>
    </row>
    <row r="38" spans="1:34" ht="9" customHeight="1" x14ac:dyDescent="0.35">
      <c r="A38" s="62"/>
      <c r="G38" s="308" t="str">
        <f ca="1">IF(X39=TRUE,(VLOOKUP(B39,Lookup!$Z$2:$AA$3,2,FALSE)),"")</f>
        <v/>
      </c>
      <c r="H38" s="309"/>
      <c r="I38" s="309"/>
      <c r="J38" s="309"/>
      <c r="K38" s="36"/>
      <c r="M38" s="38"/>
      <c r="N38"/>
      <c r="P38" s="38"/>
      <c r="Q38" s="38"/>
      <c r="R38" s="38"/>
      <c r="S38" s="38"/>
      <c r="T38"/>
      <c r="U38"/>
      <c r="V38" s="38"/>
      <c r="W38" s="57" t="s">
        <v>109</v>
      </c>
      <c r="X38" s="245" t="b">
        <f ca="1">AND(OR(X34=TRUE,X35=TRUE),N34&gt;0)</f>
        <v>0</v>
      </c>
      <c r="Y38" s="38"/>
      <c r="Z38" s="38"/>
      <c r="AA38" s="38"/>
      <c r="AB38" s="38"/>
      <c r="AC38" s="38"/>
      <c r="AD38" s="38"/>
      <c r="AE38" s="38"/>
      <c r="AF38" s="38"/>
      <c r="AG38" s="38"/>
      <c r="AH38" s="38"/>
    </row>
    <row r="39" spans="1:34" ht="63" customHeight="1" x14ac:dyDescent="0.35">
      <c r="A39" s="105" t="s">
        <v>327</v>
      </c>
      <c r="B39" s="315"/>
      <c r="C39" s="315"/>
      <c r="D39" s="315"/>
      <c r="E39" s="126"/>
      <c r="F39" s="126"/>
      <c r="G39" s="309"/>
      <c r="H39" s="309"/>
      <c r="I39" s="309"/>
      <c r="J39" s="309"/>
      <c r="K39" s="36"/>
      <c r="P39" s="38"/>
      <c r="Q39" s="64" t="s">
        <v>81</v>
      </c>
      <c r="R39" s="65" t="str">
        <f ca="1">IF(X39=TRUE,"YesNo","")</f>
        <v/>
      </c>
      <c r="S39" s="38"/>
      <c r="T39" s="38"/>
      <c r="U39" s="38"/>
      <c r="V39" s="38"/>
      <c r="W39" s="69" t="s">
        <v>304</v>
      </c>
      <c r="X39" s="45" t="b">
        <f ca="1">AND(OR(U32="Y",U33="Y"),X38=TRUE)</f>
        <v>0</v>
      </c>
      <c r="Y39" s="38"/>
      <c r="Z39" s="38"/>
      <c r="AA39" s="38"/>
      <c r="AB39" s="38"/>
      <c r="AC39" s="38"/>
      <c r="AD39" s="38"/>
      <c r="AE39" s="38"/>
      <c r="AF39" s="38"/>
      <c r="AG39" s="38"/>
      <c r="AH39" s="38"/>
    </row>
    <row r="40" spans="1:34" ht="29.15" customHeight="1" x14ac:dyDescent="0.35">
      <c r="A40" s="63"/>
      <c r="G40" s="104"/>
      <c r="H40" s="104"/>
      <c r="I40" s="104"/>
      <c r="J40" s="39"/>
      <c r="K40" s="36"/>
      <c r="M40" s="106"/>
      <c r="N40" s="107"/>
      <c r="P40" s="38"/>
      <c r="Q40" s="64"/>
      <c r="R40" s="108"/>
      <c r="S40" s="38"/>
      <c r="T40" s="38"/>
      <c r="U40" s="38"/>
      <c r="V40" s="38"/>
      <c r="W40" s="193" t="s">
        <v>293</v>
      </c>
      <c r="X40" s="247" t="b">
        <f ca="1">AND(N3="Locked",X39=TRUE)</f>
        <v>0</v>
      </c>
      <c r="Y40" s="38"/>
      <c r="Z40" s="38"/>
      <c r="AA40" s="38"/>
      <c r="AB40" s="38"/>
      <c r="AC40" s="38"/>
      <c r="AD40" s="38"/>
      <c r="AE40" s="38"/>
      <c r="AF40" s="38"/>
      <c r="AG40" s="38"/>
      <c r="AH40" s="38"/>
    </row>
    <row r="41" spans="1:34" ht="34.5" customHeight="1" x14ac:dyDescent="0.35">
      <c r="A41" s="105" t="s">
        <v>117</v>
      </c>
      <c r="B41" s="310" t="s">
        <v>125</v>
      </c>
      <c r="C41" s="310"/>
      <c r="D41" s="310"/>
      <c r="E41" s="310"/>
      <c r="F41" s="310"/>
      <c r="G41" s="310"/>
      <c r="H41" s="104"/>
      <c r="I41" s="104"/>
      <c r="J41" s="39"/>
      <c r="K41" s="36"/>
      <c r="M41" s="106"/>
      <c r="N41" s="107"/>
      <c r="P41" s="38"/>
      <c r="Q41" s="64" t="s">
        <v>113</v>
      </c>
      <c r="R41" s="65" t="str">
        <f>IF(B39="Yes","ICB","")</f>
        <v/>
      </c>
      <c r="S41" s="38"/>
      <c r="T41" s="38"/>
      <c r="U41" s="38"/>
      <c r="V41" s="38"/>
      <c r="W41" s="236" t="s">
        <v>291</v>
      </c>
      <c r="X41" s="236" t="b">
        <f ca="1">IF(N3="Unlocked",IF((AND(OR(U32="Y",U33="Y"),X78=FALSE)),TRUE,FALSE),IF(N3="Locked",IF((AND(U32="Y",B39&lt;&gt;"Yes",X78=FALSE)),TRUE,FALSE)))</f>
        <v>0</v>
      </c>
      <c r="Y41" s="248"/>
      <c r="Z41" s="38"/>
      <c r="AA41" s="38"/>
      <c r="AB41" s="38"/>
      <c r="AC41" s="38"/>
      <c r="AD41" s="38"/>
      <c r="AE41" s="38"/>
      <c r="AF41" s="38"/>
      <c r="AG41" s="38"/>
      <c r="AH41" s="38"/>
    </row>
    <row r="42" spans="1:34" ht="9" customHeight="1" x14ac:dyDescent="0.35">
      <c r="A42" s="62"/>
      <c r="G42" s="39"/>
      <c r="H42" s="39"/>
      <c r="I42" s="39"/>
      <c r="J42" s="39"/>
      <c r="K42" s="36"/>
      <c r="M42" s="38"/>
      <c r="N42"/>
      <c r="P42" s="38"/>
      <c r="Q42" s="38"/>
      <c r="R42" s="38"/>
      <c r="S42" s="38"/>
      <c r="T42" s="38"/>
      <c r="U42" s="38"/>
      <c r="V42" s="38"/>
      <c r="W42" s="69" t="s">
        <v>299</v>
      </c>
      <c r="X42" s="233" t="b">
        <f>AND(N3="unlocked",B39="Yes")</f>
        <v>0</v>
      </c>
      <c r="Y42" s="38"/>
      <c r="Z42" s="38"/>
      <c r="AA42" s="38"/>
      <c r="AB42" s="38"/>
      <c r="AC42" s="38"/>
      <c r="AD42" s="38"/>
      <c r="AE42" s="38"/>
      <c r="AF42" s="38"/>
      <c r="AG42" s="38"/>
      <c r="AH42" s="38"/>
    </row>
    <row r="43" spans="1:34" ht="28" x14ac:dyDescent="0.35">
      <c r="A43" s="105" t="s">
        <v>115</v>
      </c>
      <c r="B43" s="339"/>
      <c r="C43" s="339"/>
      <c r="F43" s="123"/>
      <c r="G43" s="311" t="str">
        <f ca="1">IF(U43="error","Error! - More Health Funded Hours than Total 1:1 Hours","")</f>
        <v/>
      </c>
      <c r="H43" s="311"/>
      <c r="I43" s="311"/>
      <c r="K43" s="36"/>
      <c r="M43" s="46" t="s">
        <v>135</v>
      </c>
      <c r="N43" s="121">
        <f ca="1">IF(X43=TRUE,B43,0)</f>
        <v>0</v>
      </c>
      <c r="P43"/>
      <c r="Q43" s="38"/>
      <c r="R43" s="38"/>
      <c r="S43" s="38"/>
      <c r="T43" s="61" t="s">
        <v>84</v>
      </c>
      <c r="U43" s="61" t="str">
        <f ca="1">IF(AND(B36&lt;&gt;"",N43&gt;B36,B39="Yes",U32="Y",X39=TRUE,X78=FALSE),"Error","")</f>
        <v/>
      </c>
      <c r="V43" s="38"/>
      <c r="W43" s="69" t="s">
        <v>295</v>
      </c>
      <c r="X43" s="238" t="b">
        <f ca="1">AND(X41=TRUE,X39=TRUE,X42=TRUE,B39="Yes")</f>
        <v>0</v>
      </c>
      <c r="Y43" s="38"/>
      <c r="Z43" s="38"/>
      <c r="AA43" s="38"/>
      <c r="AB43" s="38"/>
      <c r="AC43" s="38"/>
      <c r="AD43" s="38"/>
      <c r="AE43" s="38"/>
      <c r="AF43" s="38"/>
      <c r="AG43" s="38"/>
      <c r="AH43" s="38"/>
    </row>
    <row r="44" spans="1:34" ht="5.25" customHeight="1" x14ac:dyDescent="0.35">
      <c r="G44" s="68"/>
      <c r="H44" s="68"/>
      <c r="I44" s="68"/>
      <c r="K44" s="36"/>
      <c r="N44"/>
      <c r="W44" s="38"/>
      <c r="X44" s="55"/>
      <c r="AH44" s="37"/>
    </row>
    <row r="45" spans="1:34" ht="30.65" customHeight="1" x14ac:dyDescent="0.3">
      <c r="A45" s="110" t="str">
        <f ca="1">IF(X47=TRUE,"Total Cost of Contribution from "&amp;CHAR(10)&amp;B41&amp;":","")</f>
        <v/>
      </c>
      <c r="B45" s="338">
        <f ca="1">P45</f>
        <v>0</v>
      </c>
      <c r="C45" s="338"/>
      <c r="D45" s="338"/>
      <c r="G45" s="311" t="str">
        <f ca="1">IF(U45="error","Error! - Health contribution is more than the cost of 1:1 Hours","")</f>
        <v/>
      </c>
      <c r="H45" s="311"/>
      <c r="I45" s="311"/>
      <c r="K45" s="36"/>
      <c r="O45" s="46" t="s">
        <v>116</v>
      </c>
      <c r="P45" s="60">
        <f ca="1">IF(X47=TRUE,N43*N34,0)</f>
        <v>0</v>
      </c>
      <c r="T45" s="44" t="s">
        <v>111</v>
      </c>
      <c r="U45" s="65" t="str">
        <f ca="1">IF(AND(B36&lt;&gt;"",B45&gt;P36,B39="Yes",U32="Y",X47=TRUE,X78=FALSE),"Error","")</f>
        <v/>
      </c>
      <c r="W45" s="67" t="s">
        <v>93</v>
      </c>
      <c r="X45" s="45" t="b">
        <f ca="1">AND(X43=TRUE,B41&lt;&gt;"")</f>
        <v>0</v>
      </c>
      <c r="AH45" s="37"/>
    </row>
    <row r="46" spans="1:34" ht="5.25" customHeight="1" x14ac:dyDescent="0.3">
      <c r="G46" s="68"/>
      <c r="H46" s="68"/>
      <c r="I46" s="68"/>
      <c r="K46" s="36"/>
      <c r="N46"/>
      <c r="O46" s="47"/>
      <c r="AH46" s="37"/>
    </row>
    <row r="47" spans="1:34" ht="5.25" customHeight="1" x14ac:dyDescent="0.3">
      <c r="G47" s="68"/>
      <c r="H47" s="68"/>
      <c r="I47" s="68"/>
      <c r="K47" s="36"/>
      <c r="N47"/>
      <c r="O47" s="47"/>
      <c r="W47" s="44" t="s">
        <v>126</v>
      </c>
      <c r="X47" s="45" t="b">
        <f ca="1">AND(X45=TRUE,N43&gt;0,U43&lt;&gt;"Error")</f>
        <v>0</v>
      </c>
      <c r="AH47" s="37"/>
    </row>
    <row r="48" spans="1:34" ht="28.5" customHeight="1" x14ac:dyDescent="0.3">
      <c r="A48" s="66" t="s">
        <v>114</v>
      </c>
      <c r="B48" s="340">
        <f>N48</f>
        <v>0</v>
      </c>
      <c r="C48" s="340"/>
      <c r="F48" s="123"/>
      <c r="G48" s="351" t="s">
        <v>82</v>
      </c>
      <c r="H48" s="351"/>
      <c r="I48" s="351"/>
      <c r="J48" s="250" t="str">
        <f ca="1">IF(X50=TRUE,P48,"")</f>
        <v/>
      </c>
      <c r="K48" s="36"/>
      <c r="M48" s="46" t="s">
        <v>106</v>
      </c>
      <c r="N48" s="122">
        <f>IF(B36&gt;0,B36-N43,0)</f>
        <v>0</v>
      </c>
      <c r="O48" s="46" t="s">
        <v>127</v>
      </c>
      <c r="P48" s="60" t="str">
        <f ca="1">IF(X41=TRUE,P36-P45,"")</f>
        <v/>
      </c>
      <c r="Q48" s="237"/>
      <c r="AH48" s="37"/>
    </row>
    <row r="49" spans="1:34" ht="20.5" customHeight="1" x14ac:dyDescent="0.3">
      <c r="B49" s="89"/>
      <c r="D49" s="89"/>
      <c r="E49" s="89"/>
      <c r="F49" s="89"/>
      <c r="J49" s="25"/>
      <c r="K49" s="36"/>
      <c r="M49"/>
      <c r="N49"/>
      <c r="AH49" s="37"/>
    </row>
    <row r="50" spans="1:34" ht="22.5" x14ac:dyDescent="0.4">
      <c r="A50" s="70" t="s">
        <v>51</v>
      </c>
      <c r="K50" s="36"/>
      <c r="N50"/>
      <c r="W50" s="67" t="s">
        <v>132</v>
      </c>
      <c r="X50" s="45" t="b">
        <f ca="1">AND(X47=TRUE,U45&lt;&gt;"Error",X78=FALSE)</f>
        <v>0</v>
      </c>
      <c r="AH50" s="37"/>
    </row>
    <row r="51" spans="1:34" ht="34" customHeight="1" x14ac:dyDescent="0.3">
      <c r="A51" s="71" t="s">
        <v>42</v>
      </c>
      <c r="G51" s="2"/>
      <c r="H51" s="72" t="str">
        <f ca="1">IF(AND(X53=TRUE,G51&lt;&gt;""),(IF(G51&lt;&gt;1,"Hours","Hour")),"")</f>
        <v/>
      </c>
      <c r="I51" s="58"/>
      <c r="K51" s="36"/>
      <c r="N51"/>
      <c r="Q51"/>
      <c r="R51"/>
      <c r="T51" s="116" t="s">
        <v>133</v>
      </c>
      <c r="U51" s="117" t="str">
        <f ca="1">IF((COUNTIF(U43:U45,"Error")&gt;0),"N","Y")</f>
        <v>Y</v>
      </c>
      <c r="W51"/>
      <c r="X51"/>
      <c r="AH51" s="37"/>
    </row>
    <row r="52" spans="1:34" ht="31.5" customHeight="1" x14ac:dyDescent="0.3">
      <c r="A52" s="71" t="s">
        <v>49</v>
      </c>
      <c r="G52" s="33"/>
      <c r="H52" s="72" t="str">
        <f ca="1">IF(AND(X53=TRUE,G52&gt;0),(IF(G52=1,"Person","People")),"")</f>
        <v/>
      </c>
      <c r="I52" s="58"/>
      <c r="N52"/>
      <c r="AH52" s="37"/>
    </row>
    <row r="53" spans="1:34" ht="37" customHeight="1" x14ac:dyDescent="0.3">
      <c r="A53" s="71" t="s">
        <v>72</v>
      </c>
      <c r="G53" s="2"/>
      <c r="H53" s="72" t="str">
        <f ca="1">IF(AND(X53=TRUE,G53&lt;&gt;""),(IF(G53&lt;&gt;1,"Hours","Hour")),"")</f>
        <v/>
      </c>
      <c r="I53" s="74" t="s">
        <v>52</v>
      </c>
      <c r="J53" s="125"/>
      <c r="K53" s="36"/>
      <c r="N53"/>
      <c r="W53" s="46" t="s">
        <v>99</v>
      </c>
      <c r="X53" s="45" t="b">
        <f ca="1">AND(OR($U$32="Y",U33="Y"),U51="Y",X41=TRUE,N27="Shared Hours")</f>
        <v>0</v>
      </c>
      <c r="AH53" s="37"/>
    </row>
    <row r="54" spans="1:34" ht="34.5" customHeight="1" x14ac:dyDescent="0.3">
      <c r="A54" s="75" t="s">
        <v>73</v>
      </c>
      <c r="G54" s="33"/>
      <c r="H54" s="72" t="str">
        <f ca="1">IF(AND(X53=TRUE,G54&gt;0),(IF(G54=1,"Person","People")),"")</f>
        <v/>
      </c>
      <c r="K54" s="36"/>
      <c r="N54"/>
      <c r="AH54" s="37"/>
    </row>
    <row r="55" spans="1:34" ht="11.15" customHeight="1" x14ac:dyDescent="0.3">
      <c r="A55" s="76"/>
      <c r="K55" s="36"/>
      <c r="N55"/>
      <c r="AH55" s="37"/>
    </row>
    <row r="56" spans="1:34" ht="4.5" hidden="1" customHeight="1" x14ac:dyDescent="0.3">
      <c r="A56" s="76"/>
      <c r="K56" s="36"/>
      <c r="N56"/>
      <c r="AH56" s="37"/>
    </row>
    <row r="57" spans="1:34" ht="15.5" x14ac:dyDescent="0.35">
      <c r="A57" s="62" t="s">
        <v>43</v>
      </c>
      <c r="B57" s="77"/>
      <c r="G57" s="39"/>
      <c r="H57" s="39"/>
      <c r="I57" s="39"/>
      <c r="J57" s="39"/>
      <c r="K57" s="36"/>
      <c r="M57" s="38"/>
      <c r="N57"/>
      <c r="P57" s="38"/>
      <c r="Q57" s="38"/>
      <c r="R57" s="38"/>
      <c r="S57" s="38"/>
      <c r="T57" s="38"/>
      <c r="U57" s="38"/>
      <c r="V57" s="38"/>
      <c r="Y57" s="38"/>
      <c r="Z57" s="38"/>
      <c r="AA57" s="38"/>
      <c r="AB57" s="38"/>
      <c r="AC57" s="38"/>
      <c r="AD57" s="38"/>
      <c r="AE57" s="38"/>
      <c r="AF57" s="38"/>
      <c r="AG57" s="38"/>
      <c r="AH57" s="38"/>
    </row>
    <row r="58" spans="1:34" ht="34.4" customHeight="1" x14ac:dyDescent="0.35">
      <c r="A58" s="75" t="s">
        <v>48</v>
      </c>
      <c r="B58" s="312" t="str">
        <f ca="1">IF(X60=TRUE,ROUND(N58,2),"")</f>
        <v/>
      </c>
      <c r="C58" s="312"/>
      <c r="G58" s="305" t="s">
        <v>41</v>
      </c>
      <c r="H58" s="306"/>
      <c r="I58" s="307"/>
      <c r="J58" s="78" t="str">
        <f ca="1">IF(X60=TRUE,P58,"")</f>
        <v/>
      </c>
      <c r="K58" s="79"/>
      <c r="M58" s="46" t="s">
        <v>128</v>
      </c>
      <c r="N58" s="111">
        <f ca="1">IF(X60=TRUE,ROUND((G51/G52),2),0)</f>
        <v>0</v>
      </c>
      <c r="O58" s="46" t="s">
        <v>96</v>
      </c>
      <c r="P58" s="60">
        <f ca="1">IF(X60=TRUE,ROUND((N58*$N$34),2),0)</f>
        <v>0</v>
      </c>
      <c r="T58"/>
      <c r="U58"/>
      <c r="AE58" s="38"/>
      <c r="AF58" s="38"/>
      <c r="AG58" s="38"/>
      <c r="AH58" s="38"/>
    </row>
    <row r="59" spans="1:34" ht="35.15" customHeight="1" x14ac:dyDescent="0.35">
      <c r="A59" s="75" t="s">
        <v>74</v>
      </c>
      <c r="B59" s="312" t="str">
        <f ca="1">IF(X61=TRUE,ROUND(N59,2),"")</f>
        <v/>
      </c>
      <c r="C59" s="312"/>
      <c r="G59" s="305" t="s">
        <v>75</v>
      </c>
      <c r="H59" s="306"/>
      <c r="I59" s="307"/>
      <c r="J59" s="78" t="str">
        <f ca="1">IF(X61=TRUE,P59,"")</f>
        <v/>
      </c>
      <c r="K59" s="36"/>
      <c r="M59" s="46" t="s">
        <v>129</v>
      </c>
      <c r="N59" s="111">
        <f ca="1">IF(X61=TRUE,ROUND((G53/G54),2),0)</f>
        <v>0</v>
      </c>
      <c r="O59" s="46" t="s">
        <v>97</v>
      </c>
      <c r="P59" s="60">
        <f ca="1">IF(X61=TRUE,ROUND((N59*$N$34),2),0)</f>
        <v>0</v>
      </c>
      <c r="T59"/>
      <c r="U59"/>
      <c r="W59" s="38"/>
      <c r="X59" s="38"/>
      <c r="AH59" s="37"/>
    </row>
    <row r="60" spans="1:34" ht="19" customHeight="1" x14ac:dyDescent="0.3">
      <c r="A60" s="80"/>
      <c r="B60" s="77"/>
      <c r="G60" s="81"/>
      <c r="H60" s="81"/>
      <c r="I60" s="81"/>
      <c r="J60" s="82"/>
      <c r="K60" s="36"/>
      <c r="N60"/>
      <c r="W60" s="46" t="s">
        <v>94</v>
      </c>
      <c r="X60" s="45" t="b">
        <f ca="1">AND(X53=TRUE,G51&gt;0,G52&gt;0)</f>
        <v>0</v>
      </c>
      <c r="AH60" s="37"/>
    </row>
    <row r="61" spans="1:34" ht="8.5" customHeight="1" x14ac:dyDescent="0.3">
      <c r="A61" s="76"/>
      <c r="K61" s="36"/>
      <c r="N61"/>
      <c r="W61" s="46" t="s">
        <v>95</v>
      </c>
      <c r="X61" s="45" t="b">
        <f ca="1">AND(X53=TRUE,G53&gt;0,G54&gt;0)</f>
        <v>0</v>
      </c>
      <c r="AH61" s="37"/>
    </row>
    <row r="62" spans="1:34" ht="26.15" customHeight="1" x14ac:dyDescent="0.3">
      <c r="G62" s="130" t="s">
        <v>59</v>
      </c>
      <c r="H62" s="341" t="s">
        <v>151</v>
      </c>
      <c r="I62" s="341"/>
      <c r="K62" s="36"/>
      <c r="N62"/>
      <c r="X62" s="55"/>
      <c r="AH62" s="37"/>
    </row>
    <row r="63" spans="1:34" ht="14" x14ac:dyDescent="0.3">
      <c r="A63" s="83" t="s">
        <v>4</v>
      </c>
      <c r="B63" s="313"/>
      <c r="C63" s="313"/>
      <c r="G63" s="131" t="str">
        <f ca="1">IF($X$66=TRUE,(INDEX(Rates!$I$3:$I$366,MATCH(R33&amp;"Sleep-in",Rates!$G$3:$G$366,0))),"")</f>
        <v/>
      </c>
      <c r="H63" s="337"/>
      <c r="I63" s="337"/>
      <c r="K63" s="36"/>
      <c r="M63" s="52" t="s">
        <v>150</v>
      </c>
      <c r="N63" s="1" t="str">
        <f ca="1">IF(B24="Standard Rate",G63,IF(B24="Non-Standard Rate",H63,""))</f>
        <v/>
      </c>
      <c r="Q63" s="84" t="s">
        <v>98</v>
      </c>
      <c r="R63" s="84" t="str">
        <f ca="1">IF(X53=TRUE,"YesNo","")</f>
        <v/>
      </c>
      <c r="X63" s="55"/>
      <c r="AH63" s="37"/>
    </row>
    <row r="64" spans="1:34" ht="33" customHeight="1" x14ac:dyDescent="0.3">
      <c r="A64" s="85" t="s">
        <v>68</v>
      </c>
      <c r="B64" s="314"/>
      <c r="C64" s="314"/>
      <c r="H64" s="25"/>
      <c r="K64" s="36"/>
      <c r="M64"/>
      <c r="N64"/>
      <c r="X64" s="55"/>
      <c r="AH64" s="37"/>
    </row>
    <row r="65" spans="1:34" ht="11.5" customHeight="1" x14ac:dyDescent="0.35">
      <c r="A65" s="40"/>
      <c r="H65" s="25"/>
      <c r="K65" s="36"/>
      <c r="M65" s="112" t="s">
        <v>101</v>
      </c>
      <c r="N65" s="73">
        <f ca="1">IF((X66=TRUE),B67,0)</f>
        <v>0</v>
      </c>
      <c r="O65" s="37" t="str">
        <f ca="1">IF(N65=1,"person","people")</f>
        <v>people</v>
      </c>
      <c r="X65" s="55"/>
      <c r="AH65" s="37"/>
    </row>
    <row r="66" spans="1:34" ht="10.75" customHeight="1" x14ac:dyDescent="0.3">
      <c r="K66" s="36"/>
      <c r="M66" s="84" t="s">
        <v>110</v>
      </c>
      <c r="N66" s="86" t="str">
        <f ca="1">IF(X66=TRUE,B64*7,"")</f>
        <v/>
      </c>
      <c r="W66" s="46" t="s">
        <v>100</v>
      </c>
      <c r="X66" s="45" t="b">
        <f ca="1">AND(X53=TRUE,B63="Yes")</f>
        <v>0</v>
      </c>
      <c r="AH66" s="37"/>
    </row>
    <row r="67" spans="1:34" ht="48.65" customHeight="1" x14ac:dyDescent="0.3">
      <c r="A67" s="87" t="s">
        <v>70</v>
      </c>
      <c r="B67" s="356"/>
      <c r="C67" s="356"/>
      <c r="G67" s="316" t="s">
        <v>22</v>
      </c>
      <c r="H67" s="317"/>
      <c r="I67" s="318"/>
      <c r="J67" s="249" t="str">
        <f ca="1">IF(AND(X69=TRUE,$X$78=FALSE),P67,"")</f>
        <v/>
      </c>
      <c r="K67" s="36"/>
      <c r="N67"/>
      <c r="O67" s="46" t="s">
        <v>102</v>
      </c>
      <c r="P67" s="88">
        <f ca="1">IF(AND(X69=TRUE,B67&gt;0),(ROUND(((N63/B67)),2)*B64),0)</f>
        <v>0</v>
      </c>
      <c r="AH67" s="37"/>
    </row>
    <row r="68" spans="1:34" ht="9" customHeight="1" x14ac:dyDescent="0.3">
      <c r="B68" s="89"/>
      <c r="K68" s="36"/>
      <c r="N68"/>
      <c r="AH68" s="37"/>
    </row>
    <row r="69" spans="1:34" ht="9" customHeight="1" x14ac:dyDescent="0.3">
      <c r="A69" s="90"/>
      <c r="K69" s="36"/>
      <c r="N69"/>
      <c r="W69" s="46" t="s">
        <v>107</v>
      </c>
      <c r="X69" s="45" t="b">
        <f ca="1">AND(X66=TRUE,B64&gt;0)</f>
        <v>0</v>
      </c>
      <c r="AH69" s="37"/>
    </row>
    <row r="70" spans="1:34" ht="16.5" customHeight="1" x14ac:dyDescent="0.35">
      <c r="A70" s="40" t="s">
        <v>20</v>
      </c>
      <c r="B70" s="320"/>
      <c r="C70" s="320"/>
      <c r="G70" s="299" t="s">
        <v>29</v>
      </c>
      <c r="H70" s="300"/>
      <c r="I70" s="301"/>
      <c r="J70" s="103" t="str">
        <f ca="1">IF(X72=TRUE,P70,"")</f>
        <v/>
      </c>
      <c r="K70" s="36"/>
      <c r="N70"/>
      <c r="O70" s="46" t="s">
        <v>104</v>
      </c>
      <c r="P70" s="88" t="str">
        <f ca="1">IF(X72=TRUE,B70,"")</f>
        <v/>
      </c>
      <c r="AH70" s="37"/>
    </row>
    <row r="71" spans="1:34" ht="15.5" x14ac:dyDescent="0.35">
      <c r="A71" s="354" t="s">
        <v>47</v>
      </c>
      <c r="K71" s="36"/>
      <c r="T71" s="61" t="s">
        <v>162</v>
      </c>
      <c r="U71" s="61" t="b">
        <f ca="1">OR(U32="Y",((COUNTIF(U43:U70,"Error"))&lt;1))</f>
        <v>1</v>
      </c>
      <c r="AH71" s="37"/>
    </row>
    <row r="72" spans="1:34" x14ac:dyDescent="0.3">
      <c r="A72" s="354"/>
      <c r="K72" s="36"/>
      <c r="S72"/>
      <c r="W72" s="46" t="s">
        <v>103</v>
      </c>
      <c r="X72" s="45" t="b">
        <f ca="1">AND(X41=TRUE,X78=FALSE)</f>
        <v>0</v>
      </c>
      <c r="AH72" s="37"/>
    </row>
    <row r="73" spans="1:34" ht="16" thickBot="1" x14ac:dyDescent="0.4">
      <c r="G73" s="39"/>
      <c r="H73" s="39"/>
      <c r="I73" s="40" t="s">
        <v>80</v>
      </c>
      <c r="J73" s="91" t="str">
        <f ca="1">IF(AND(U71=TRUE,X41=TRUE,X78=FALSE),P73,"")</f>
        <v/>
      </c>
      <c r="K73" s="36"/>
      <c r="O73" s="52" t="s">
        <v>108</v>
      </c>
      <c r="P73" s="92">
        <f ca="1">SUM(P48:P70)</f>
        <v>0</v>
      </c>
      <c r="AH73" s="37"/>
    </row>
    <row r="74" spans="1:34" ht="13.5" thickTop="1" x14ac:dyDescent="0.3">
      <c r="A74" s="93"/>
      <c r="B74" s="93"/>
      <c r="C74" s="93"/>
      <c r="D74" s="93"/>
      <c r="E74" s="93"/>
      <c r="F74" s="93"/>
      <c r="G74" s="93"/>
      <c r="H74" s="93"/>
      <c r="I74" s="93"/>
      <c r="K74" s="36"/>
      <c r="AH74" s="37"/>
    </row>
    <row r="75" spans="1:34" ht="15.5" x14ac:dyDescent="0.35">
      <c r="G75" s="62"/>
      <c r="H75" s="62"/>
      <c r="I75" s="40" t="s">
        <v>23</v>
      </c>
      <c r="J75" s="239"/>
      <c r="W75" s="44" t="s">
        <v>153</v>
      </c>
      <c r="X75" s="45" t="b">
        <f ca="1">AND(OR($U$32="Y",U33="Y"),OR(P73&gt;0,J75&gt;0))</f>
        <v>0</v>
      </c>
      <c r="AH75" s="37"/>
    </row>
    <row r="76" spans="1:34" ht="18" x14ac:dyDescent="0.3">
      <c r="A76" s="353" t="s">
        <v>39</v>
      </c>
      <c r="B76" s="353"/>
      <c r="C76" s="353"/>
      <c r="D76" s="353"/>
      <c r="E76" s="353"/>
      <c r="F76" s="353"/>
      <c r="G76" s="353"/>
      <c r="H76" s="353"/>
      <c r="I76" s="353"/>
      <c r="J76" s="346"/>
      <c r="K76" s="36"/>
      <c r="AH76" s="37"/>
    </row>
    <row r="77" spans="1:34" x14ac:dyDescent="0.3">
      <c r="A77" s="94" t="s">
        <v>71</v>
      </c>
      <c r="K77" s="36"/>
      <c r="W77"/>
      <c r="X77"/>
      <c r="AH77" s="37"/>
    </row>
    <row r="78" spans="1:34" ht="15.5" x14ac:dyDescent="0.35">
      <c r="A78" s="290" t="str">
        <f ca="1">IF($X$75=TRUE,B9&amp;" has been with "&amp;N30&amp;" since "&amp;(TEXT(B20,"dd mmmm yyyy")),"")</f>
        <v/>
      </c>
      <c r="B78" s="291"/>
      <c r="C78" s="291"/>
      <c r="D78" s="291"/>
      <c r="E78" s="291"/>
      <c r="F78" s="291"/>
      <c r="G78" s="291"/>
      <c r="H78" s="291"/>
      <c r="I78" s="291"/>
      <c r="J78" s="292"/>
      <c r="W78" s="118" t="s">
        <v>134</v>
      </c>
      <c r="X78" s="115" t="b">
        <f>J75&gt;0</f>
        <v>0</v>
      </c>
      <c r="AH78" s="37"/>
    </row>
    <row r="79" spans="1:34" ht="13.5" customHeight="1" x14ac:dyDescent="0.3">
      <c r="A79" s="296" t="str">
        <f ca="1">IF($X$75=TRUE,"From "&amp;TEXT($B$22,"dd mmmm yyyy")&amp;" "&amp;B9&amp;" will receive the following "&amp;B27&amp;" service:-","")</f>
        <v/>
      </c>
      <c r="B79" s="297"/>
      <c r="C79" s="297"/>
      <c r="D79" s="297"/>
      <c r="E79" s="297"/>
      <c r="F79" s="297"/>
      <c r="G79" s="297"/>
      <c r="H79" s="297"/>
      <c r="I79" s="297"/>
      <c r="J79" s="298"/>
      <c r="K79" s="96"/>
      <c r="M79" s="97"/>
      <c r="N79" s="97"/>
      <c r="O79" s="97"/>
      <c r="P79" s="97"/>
      <c r="Q79" s="97"/>
      <c r="R79" s="97"/>
      <c r="S79" s="97"/>
      <c r="T79" s="97"/>
      <c r="U79" s="97"/>
      <c r="V79" s="97"/>
      <c r="Y79" s="97"/>
      <c r="Z79" s="97"/>
      <c r="AA79" s="97"/>
      <c r="AB79" s="97"/>
      <c r="AC79" s="97"/>
      <c r="AD79" s="97"/>
      <c r="AH79" s="37"/>
    </row>
    <row r="80" spans="1:34" ht="15" customHeight="1" x14ac:dyDescent="0.3">
      <c r="A80" s="293" t="str">
        <f ca="1">IF($X$78=TRUE,Description!$B$34,(IF($X$75=TRUE,Description!B27,"")))</f>
        <v/>
      </c>
      <c r="B80" s="294"/>
      <c r="C80" s="294"/>
      <c r="D80" s="294"/>
      <c r="E80" s="294"/>
      <c r="F80" s="294"/>
      <c r="G80" s="294"/>
      <c r="H80" s="294"/>
      <c r="I80" s="294"/>
      <c r="J80" s="295"/>
      <c r="AH80" s="37"/>
    </row>
    <row r="81" spans="1:34" x14ac:dyDescent="0.3">
      <c r="A81" s="293" t="str">
        <f ca="1">IF($X$78=TRUE,"",(IF($X$75=TRUE,Description!B28,"")))</f>
        <v/>
      </c>
      <c r="B81" s="294"/>
      <c r="C81" s="294"/>
      <c r="D81" s="294"/>
      <c r="E81" s="294"/>
      <c r="F81" s="294"/>
      <c r="G81" s="294"/>
      <c r="H81" s="294"/>
      <c r="I81" s="294"/>
      <c r="J81" s="295"/>
      <c r="W81" s="97"/>
      <c r="X81" s="97"/>
      <c r="AH81" s="37"/>
    </row>
    <row r="82" spans="1:34" ht="15.5" x14ac:dyDescent="0.3">
      <c r="A82" s="293" t="str">
        <f ca="1">IF($X$78=TRUE,"",(IF($X$75=TRUE,Description!B29,"")))</f>
        <v/>
      </c>
      <c r="B82" s="294"/>
      <c r="C82" s="294"/>
      <c r="D82" s="294"/>
      <c r="E82" s="294"/>
      <c r="F82" s="294"/>
      <c r="G82" s="294"/>
      <c r="H82" s="294"/>
      <c r="I82" s="294"/>
      <c r="J82" s="295"/>
      <c r="AE82" s="342"/>
      <c r="AF82" s="342"/>
      <c r="AG82" s="342"/>
      <c r="AH82" s="342"/>
    </row>
    <row r="83" spans="1:34" ht="15.5" x14ac:dyDescent="0.3">
      <c r="A83" s="293" t="str">
        <f ca="1">IF($X$78=TRUE,"",(IF($X$75=TRUE,Description!B30,"")))</f>
        <v/>
      </c>
      <c r="B83" s="294"/>
      <c r="C83" s="294"/>
      <c r="D83" s="294"/>
      <c r="E83" s="294"/>
      <c r="F83" s="294"/>
      <c r="G83" s="294"/>
      <c r="H83" s="294"/>
      <c r="I83" s="294"/>
      <c r="J83" s="295"/>
      <c r="AE83" s="100"/>
      <c r="AF83" s="100"/>
      <c r="AG83" s="100"/>
      <c r="AH83" s="99"/>
    </row>
    <row r="84" spans="1:34" ht="15.5" x14ac:dyDescent="0.3">
      <c r="A84" s="95" t="str">
        <f ca="1">IF($X$78=TRUE,"",(IF($X$75=TRUE,Description!B31,"")))</f>
        <v/>
      </c>
      <c r="J84" s="98"/>
      <c r="AE84" s="100"/>
      <c r="AF84" s="100"/>
      <c r="AG84" s="100"/>
      <c r="AH84" s="99"/>
    </row>
    <row r="85" spans="1:34" ht="15.5" x14ac:dyDescent="0.3">
      <c r="A85" s="95" t="str">
        <f ca="1">IF($X$78=TRUE,"",(IF($X$75=TRUE,Description!B32,"")))</f>
        <v/>
      </c>
      <c r="J85" s="98"/>
      <c r="AE85" s="100"/>
      <c r="AF85" s="100"/>
      <c r="AG85" s="100"/>
      <c r="AH85" s="99"/>
    </row>
    <row r="86" spans="1:34" ht="15.5" x14ac:dyDescent="0.3">
      <c r="A86" s="101"/>
      <c r="B86" s="93"/>
      <c r="C86" s="93"/>
      <c r="D86" s="93"/>
      <c r="E86" s="93"/>
      <c r="F86" s="93"/>
      <c r="G86" s="93"/>
      <c r="H86" s="93"/>
      <c r="I86" s="93"/>
      <c r="J86" s="102"/>
      <c r="AE86" s="100"/>
      <c r="AF86" s="100"/>
      <c r="AG86" s="100"/>
      <c r="AH86" s="99"/>
    </row>
    <row r="87" spans="1:34" x14ac:dyDescent="0.3">
      <c r="K87" s="36"/>
      <c r="AH87" s="37"/>
    </row>
    <row r="88" spans="1:34" x14ac:dyDescent="0.3">
      <c r="K88" s="36"/>
      <c r="AH88" s="37"/>
    </row>
  </sheetData>
  <sheetProtection sheet="1" selectLockedCells="1"/>
  <mergeCells count="51">
    <mergeCell ref="AE82:AH82"/>
    <mergeCell ref="B11:G11"/>
    <mergeCell ref="A13:J13"/>
    <mergeCell ref="A15:J17"/>
    <mergeCell ref="A14:J14"/>
    <mergeCell ref="I20:J20"/>
    <mergeCell ref="G21:J22"/>
    <mergeCell ref="G48:I48"/>
    <mergeCell ref="T17:U17"/>
    <mergeCell ref="A76:J76"/>
    <mergeCell ref="B27:G27"/>
    <mergeCell ref="A71:A72"/>
    <mergeCell ref="Q17:R17"/>
    <mergeCell ref="G59:I59"/>
    <mergeCell ref="B67:C67"/>
    <mergeCell ref="B20:D20"/>
    <mergeCell ref="B22:D22"/>
    <mergeCell ref="B34:C34"/>
    <mergeCell ref="B24:E24"/>
    <mergeCell ref="H63:I63"/>
    <mergeCell ref="B45:D45"/>
    <mergeCell ref="B36:C36"/>
    <mergeCell ref="B43:C43"/>
    <mergeCell ref="B48:C48"/>
    <mergeCell ref="H62:I62"/>
    <mergeCell ref="A2:J2"/>
    <mergeCell ref="A3:J3"/>
    <mergeCell ref="B5:J5"/>
    <mergeCell ref="B7:H7"/>
    <mergeCell ref="B9:J9"/>
    <mergeCell ref="O17:P17"/>
    <mergeCell ref="M17:N17"/>
    <mergeCell ref="J33:J35"/>
    <mergeCell ref="H30:J30"/>
    <mergeCell ref="N3:O3"/>
    <mergeCell ref="G70:I70"/>
    <mergeCell ref="B30:G30"/>
    <mergeCell ref="B33:C33"/>
    <mergeCell ref="G58:I58"/>
    <mergeCell ref="G38:J39"/>
    <mergeCell ref="B41:G41"/>
    <mergeCell ref="G45:I45"/>
    <mergeCell ref="B58:C58"/>
    <mergeCell ref="B59:C59"/>
    <mergeCell ref="B63:C63"/>
    <mergeCell ref="B64:C64"/>
    <mergeCell ref="G43:I43"/>
    <mergeCell ref="B39:D39"/>
    <mergeCell ref="G67:I67"/>
    <mergeCell ref="B32:G32"/>
    <mergeCell ref="B70:C70"/>
  </mergeCells>
  <conditionalFormatting sqref="A30 G62">
    <cfRule type="expression" dxfId="39" priority="257">
      <formula>X29</formula>
    </cfRule>
  </conditionalFormatting>
  <conditionalFormatting sqref="A32 A34">
    <cfRule type="expression" dxfId="38" priority="251">
      <formula>$X$30=TRUE</formula>
    </cfRule>
  </conditionalFormatting>
  <conditionalFormatting sqref="A33">
    <cfRule type="expression" dxfId="37" priority="12">
      <formula>$X$34=TRUE</formula>
    </cfRule>
  </conditionalFormatting>
  <conditionalFormatting sqref="A39">
    <cfRule type="expression" dxfId="36" priority="262">
      <formula>$X$39=TRUE</formula>
    </cfRule>
  </conditionalFormatting>
  <conditionalFormatting sqref="A41">
    <cfRule type="expression" dxfId="35" priority="191">
      <formula>$X$43=TRUE</formula>
    </cfRule>
  </conditionalFormatting>
  <conditionalFormatting sqref="A43">
    <cfRule type="expression" dxfId="34" priority="3">
      <formula>X45=TRUE</formula>
    </cfRule>
  </conditionalFormatting>
  <conditionalFormatting sqref="A45">
    <cfRule type="expression" dxfId="33" priority="211">
      <formula>$X$47=TRUE</formula>
    </cfRule>
  </conditionalFormatting>
  <conditionalFormatting sqref="A48">
    <cfRule type="expression" dxfId="32" priority="212">
      <formula>$X$50=TRUE</formula>
    </cfRule>
  </conditionalFormatting>
  <conditionalFormatting sqref="A80:A86">
    <cfRule type="expression" dxfId="31" priority="35">
      <formula>A80=0</formula>
    </cfRule>
    <cfRule type="expression" dxfId="30" priority="46" stopIfTrue="1">
      <formula>ISNUMBER(SEARCH("Overall Support Costing",A80))</formula>
    </cfRule>
    <cfRule type="expression" dxfId="29" priority="63">
      <formula>ISNUMBER(SEARCH("Total Cost",A80))</formula>
    </cfRule>
    <cfRule type="expression" dxfId="28" priority="64">
      <formula>ISNUMBER(SEARCH("ICB",A80))</formula>
    </cfRule>
  </conditionalFormatting>
  <conditionalFormatting sqref="B64">
    <cfRule type="expression" dxfId="27" priority="217">
      <formula>$X$66=TRUE</formula>
    </cfRule>
  </conditionalFormatting>
  <conditionalFormatting sqref="B67">
    <cfRule type="expression" dxfId="26" priority="218">
      <formula>$X$69=TRUE</formula>
    </cfRule>
  </conditionalFormatting>
  <conditionalFormatting sqref="B70">
    <cfRule type="expression" dxfId="25" priority="219">
      <formula>$X$72=TRUE</formula>
    </cfRule>
  </conditionalFormatting>
  <conditionalFormatting sqref="B33:C33">
    <cfRule type="expression" dxfId="24" priority="236">
      <formula>$X$34=TRUE</formula>
    </cfRule>
  </conditionalFormatting>
  <conditionalFormatting sqref="B36:C36">
    <cfRule type="expression" dxfId="23" priority="213">
      <formula>$X$38=TRUE</formula>
    </cfRule>
  </conditionalFormatting>
  <conditionalFormatting sqref="B43:C43">
    <cfRule type="expression" dxfId="22" priority="193">
      <formula>$X$45=TRUE</formula>
    </cfRule>
  </conditionalFormatting>
  <conditionalFormatting sqref="B48:C48">
    <cfRule type="expression" dxfId="21" priority="215">
      <formula>$X$50=TRUE</formula>
    </cfRule>
  </conditionalFormatting>
  <conditionalFormatting sqref="B22:D22">
    <cfRule type="expression" dxfId="20" priority="105">
      <formula>X22=TRUE</formula>
    </cfRule>
  </conditionalFormatting>
  <conditionalFormatting sqref="B39:D39">
    <cfRule type="expression" dxfId="19" priority="263">
      <formula>$X$39=TRUE</formula>
    </cfRule>
  </conditionalFormatting>
  <conditionalFormatting sqref="B45:D45">
    <cfRule type="expression" dxfId="18" priority="220">
      <formula>$X$47=TRUE</formula>
    </cfRule>
  </conditionalFormatting>
  <conditionalFormatting sqref="B24:E24">
    <cfRule type="expression" dxfId="17" priority="244">
      <formula>$X$24</formula>
    </cfRule>
  </conditionalFormatting>
  <conditionalFormatting sqref="B27:G27">
    <cfRule type="expression" dxfId="16" priority="261">
      <formula>$X$27=TRUE</formula>
    </cfRule>
  </conditionalFormatting>
  <conditionalFormatting sqref="B30:G30">
    <cfRule type="expression" dxfId="15" priority="258">
      <formula>$X$29=TRUE</formula>
    </cfRule>
  </conditionalFormatting>
  <conditionalFormatting sqref="B32:G32 B34:C34">
    <cfRule type="expression" dxfId="14" priority="253">
      <formula>$X$30=TRUE</formula>
    </cfRule>
  </conditionalFormatting>
  <conditionalFormatting sqref="B41:G41">
    <cfRule type="expression" dxfId="13" priority="26">
      <formula>$X$43=TRUE</formula>
    </cfRule>
  </conditionalFormatting>
  <conditionalFormatting sqref="C26:E26">
    <cfRule type="expression" dxfId="12" priority="249">
      <formula>AND(Y23=TRUE,C23&gt;0)</formula>
    </cfRule>
  </conditionalFormatting>
  <conditionalFormatting sqref="G51:G54 B63">
    <cfRule type="expression" dxfId="11" priority="216">
      <formula>$X$53=TRUE</formula>
    </cfRule>
  </conditionalFormatting>
  <conditionalFormatting sqref="G63">
    <cfRule type="expression" dxfId="10" priority="260">
      <formula>AND($X$29=TRUE,$X$66=TRUE)</formula>
    </cfRule>
  </conditionalFormatting>
  <conditionalFormatting sqref="G43:I43">
    <cfRule type="expression" dxfId="9" priority="22">
      <formula>$U$43="Error"</formula>
    </cfRule>
  </conditionalFormatting>
  <conditionalFormatting sqref="G45:I45">
    <cfRule type="expression" dxfId="8" priority="37">
      <formula>$U$45="Error"</formula>
    </cfRule>
  </conditionalFormatting>
  <conditionalFormatting sqref="G48:I48">
    <cfRule type="expression" dxfId="7" priority="2">
      <formula>X50=TRUE</formula>
    </cfRule>
  </conditionalFormatting>
  <conditionalFormatting sqref="G38:J39">
    <cfRule type="expression" dxfId="6" priority="232">
      <formula>AND(X40=TRUE,$B$39="No")</formula>
    </cfRule>
    <cfRule type="expression" dxfId="5" priority="7">
      <formula>AND(X40=TRUE,$B$39="Yes")</formula>
    </cfRule>
  </conditionalFormatting>
  <conditionalFormatting sqref="H62:I62">
    <cfRule type="expression" dxfId="4" priority="8">
      <formula>AND($X$35=TRUE,$X$66=TRUE)</formula>
    </cfRule>
  </conditionalFormatting>
  <conditionalFormatting sqref="H63:I63">
    <cfRule type="expression" dxfId="3" priority="256">
      <formula>AND($X$66=TRUE,$X$30=TRUE)</formula>
    </cfRule>
  </conditionalFormatting>
  <conditionalFormatting sqref="J36">
    <cfRule type="expression" dxfId="2" priority="86">
      <formula>J36="Error"</formula>
    </cfRule>
  </conditionalFormatting>
  <conditionalFormatting sqref="J48">
    <cfRule type="expression" dxfId="1" priority="1">
      <formula>X50=TRUE</formula>
    </cfRule>
  </conditionalFormatting>
  <conditionalFormatting sqref="AE82:AH86">
    <cfRule type="expression" dxfId="0" priority="103">
      <formula>AND($B$9&lt;&gt;"",$B$22&gt;0)</formula>
    </cfRule>
  </conditionalFormatting>
  <dataValidations xWindow="357" yWindow="776" count="25">
    <dataValidation type="decimal" allowBlank="1" showInputMessage="1" showErrorMessage="1" error="Enter the number of hours in figures" prompt="Record all the hours of Waking Night either in a shared service or single.  _x000a_Use a decimal if this includes a fraction of an hour eg 1.5 for 1 1/2 hrs._x000a__x000a_If this is for a single person service just confirm that the hours are shared by 1 person." sqref="G53" xr:uid="{6A7DF3FE-60F8-426F-B69E-AFE6A2A4A1CD}">
      <formula1>0</formula1>
      <formula2>1000000000000000000</formula2>
    </dataValidation>
    <dataValidation type="whole" allowBlank="1" showInputMessage="1" showErrorMessage="1" error="Enter a whole number greater than 1" prompt="Number of PEOPLE sharing the Daytime Hours" sqref="G52 G54" xr:uid="{AA142A72-1FCC-463B-A41E-C7A2D425E118}">
      <formula1>1</formula1>
      <formula2>1000000000000000000</formula2>
    </dataValidation>
    <dataValidation type="decimal" allowBlank="1" showInputMessage="1" showErrorMessage="1" error="Enter the number of hours in figures" prompt="Total shared DAYTIME hours. Use decimal if this includes a fraction of an hour_x000a_eg 1.5 for 1 1/2 hrs, 1.25 for 1 1/4 hrs_x000a__x000a_Ask the provider to confirm this total if it's not clear" sqref="G51" xr:uid="{71C9689D-AE01-46ED-9201-3CAEE582745E}">
      <formula1>0</formula1>
      <formula2>1000000000000000000</formula2>
    </dataValidation>
    <dataValidation type="list" allowBlank="1" showInputMessage="1" showErrorMessage="1" sqref="B63" xr:uid="{4FBBCED0-05DA-48C3-8C16-7B10B1544376}">
      <formula1>INDIRECT($R$63)</formula1>
    </dataValidation>
    <dataValidation type="decimal" allowBlank="1" showErrorMessage="1" error="Enter the addtional weekly costs in figures" prompt="_x000a__x000a_" sqref="B70" xr:uid="{4CDA0DAC-0712-4BD3-960B-E9219646D991}">
      <formula1>0</formula1>
      <formula2>1000000000000000000</formula2>
    </dataValidation>
    <dataValidation type="whole" allowBlank="1" showInputMessage="1" showErrorMessage="1" error="Enter a whole number eg 1, 2, 3, 4 etc" sqref="B67" xr:uid="{1DBB7967-7839-4C23-878A-1AF9F970364D}">
      <formula1>0</formula1>
      <formula2>100000000000000</formula2>
    </dataValidation>
    <dataValidation type="decimal" allowBlank="1" showInputMessage="1" showErrorMessage="1" error="Enter the number of hours in figures" sqref="B58:B59" xr:uid="{5F42902A-80F8-469B-8EDE-12158560CBC5}">
      <formula1>0</formula1>
      <formula2>1000000000000000000</formula2>
    </dataValidation>
    <dataValidation type="whole" allowBlank="1" showInputMessage="1" showErrorMessage="1" error="Enter service user ID in the form of a number" sqref="B11" xr:uid="{71F4033D-7032-44CD-BD18-B8BB75FAC4F3}">
      <formula1>0</formula1>
      <formula2>1000000000000000000</formula2>
    </dataValidation>
    <dataValidation type="date" allowBlank="1" showInputMessage="1" showErrorMessage="1" error="Enter date in the format dd/mm/yy_x000a_eg for 31st March 2019 type 31/12/19_x000a_which is ON OR AFTER the date the person moved into the service" prompt="For a new package put in the same date as original start date of the package.  For existing packages put the date from which the commissioning will change - put reason for change in other details/comments box" sqref="B22" xr:uid="{42382BE4-3F29-4632-ACE7-2DCF87BCCDD5}">
      <formula1>$B$20</formula1>
      <formula2>2958465</formula2>
    </dataValidation>
    <dataValidation type="decimal" allowBlank="1" showInputMessage="1" showErrorMessage="1" error="Enter a number between 1 and 3._x000a__x000a_Max number of sleep-in workers per shift is 3" promptTitle="Max of 3 sleep-in wkrs per shift" prompt="Please provide the number of workers per night who provider the sleep-in support (normally 1 per night but occasionally as many as 2 or 3) - ie  1 slp-in worker per night, or 2 slp-in workers per night or possibly 3 slp-in workers per night." sqref="B64" xr:uid="{511ABC21-BE8E-4C83-8FB7-9DB16DC8C531}">
      <formula1>0</formula1>
      <formula2>3</formula2>
    </dataValidation>
    <dataValidation allowBlank="1" showInputMessage="1" showErrorMessage="1" prompt="Please enter the need for this calculator, eg a change in commissioning, explanation of additional cost_x000a__x000a_Give dates if the change relates to a temporary uplift or reduction" sqref="A15:J17" xr:uid="{605522BC-A0CC-4C18-B580-402E967954AD}"/>
    <dataValidation allowBlank="1" showInputMessage="1" showErrorMessage="1" prompt="Select provider dropdown menu. If the provider is not listed please contact csesupport@nottscc.gov.uk for assistance" sqref="A30" xr:uid="{10A744AF-CB65-4938-9DF9-DEA77ECEE276}"/>
    <dataValidation type="list" allowBlank="1" showInputMessage="1" showErrorMessage="1" sqref="B39" xr:uid="{76728CAE-11F3-40A8-BA6D-99CDD3FBDF22}">
      <formula1>INDIRECT($R$39)</formula1>
    </dataValidation>
    <dataValidation type="date" allowBlank="1" showInputMessage="1" showErrorMessage="1" error="Enter date in the format dd/mm/yy_x000a_eg for 31st March 2019 type 31/12/19_x000a_which is the date the person first moved into the property or when the package first began." promptTitle="Enter a date" prompt="Enter date when person moved into property or first started to receive their service - especially if this as been continuous since before 10th April 2017 with the same provider" sqref="B20" xr:uid="{0154D648-F07D-4591-8169-80A5CA079379}">
      <formula1>1</formula1>
      <formula2>2958465</formula2>
    </dataValidation>
    <dataValidation type="decimal" allowBlank="1" showInputMessage="1" showErrorMessage="1" error="Enter the number of hours in figures" promptTitle="Insert 1:1 Hrs funded by Health" prompt="If &quot;Yes&quot; please insert the number of hours that health have confirmed they will be funding directly with the provider." sqref="B43:C43" xr:uid="{2B23333D-F4F6-4789-81FA-352D138D13AA}">
      <formula1>0</formula1>
      <formula2>100000000000000</formula2>
    </dataValidation>
    <dataValidation type="decimal" allowBlank="1" showInputMessage="1" showErrorMessage="1" error="Input a number" promptTitle="Cost of ICB Funded Hrs" prompt="Please input the cost of the hours that the ICB (Health) will be funding in this box" sqref="B45" xr:uid="{BDC7D391-9FB3-4127-AFE8-8F575A2A47B9}">
      <formula1>0</formula1>
      <formula2>100000000000000</formula2>
    </dataValidation>
    <dataValidation type="decimal" allowBlank="1" showInputMessage="1" showErrorMessage="1" error="Enter a number" sqref="J75" xr:uid="{A483DC4E-4BE9-4B56-AEDB-8DBE2C85EA6E}">
      <formula1>0</formula1>
      <formula2>1000000000000000000</formula2>
    </dataValidation>
    <dataValidation type="list" allowBlank="1" showInputMessage="1" showErrorMessage="1" sqref="B41" xr:uid="{EAD7BB67-CF16-466D-9A37-792779C0C32A}">
      <formula1>INDIRECT($R$41)</formula1>
    </dataValidation>
    <dataValidation type="whole" allowBlank="1" showInputMessage="1" showErrorMessage="1" error="Enter the number of minutes as a WHOLE number" sqref="E36" xr:uid="{12C51688-045B-4515-B61C-2B6ADAD27DBF}">
      <formula1>0</formula1>
      <formula2>100000000000000000</formula2>
    </dataValidation>
    <dataValidation type="list" allowBlank="1" showInputMessage="1" showErrorMessage="1" sqref="B24" xr:uid="{E33A98CE-2F43-455D-95B6-6117DEF60CE3}">
      <formula1>INDIRECT($R$24)</formula1>
    </dataValidation>
    <dataValidation type="decimal" allowBlank="1" showInputMessage="1" showErrorMessage="1" error="Enter Sleepin Cost as a decimal" sqref="H63:I63" xr:uid="{8E2EB0C6-8717-4071-95BC-BF3BC81B04C0}">
      <formula1>0</formula1>
      <formula2>100000000000000</formula2>
    </dataValidation>
    <dataValidation type="decimal" allowBlank="1" showInputMessage="1" showErrorMessage="1" error="Enter the amount as a number" sqref="B34:C34" xr:uid="{554BBE9A-AC27-4FF5-B7FA-8D809372AF3E}">
      <formula1>0</formula1>
      <formula2>100000000000</formula2>
    </dataValidation>
    <dataValidation type="list" allowBlank="1" showInputMessage="1" showErrorMessage="1" prompt="Select provider dropdown menu. If the provider is not listed please contact csesupport@nottscc.gov.uk for assistance_x000a_" sqref="B30:G30" xr:uid="{C45B5288-A02C-4ED4-A8C9-F34BC6A9C162}">
      <formula1>INDIRECT($R$30)</formula1>
    </dataValidation>
    <dataValidation type="list" allowBlank="1" showInputMessage="1" showErrorMessage="1" promptTitle="Type of Support" prompt="Select the type of support using the dropdown arrow. Note, the types of support in the dropdown will be different according to the date the person FIRST received the package." sqref="B27:G27" xr:uid="{98822337-F394-4F92-BE4B-8636F14E254E}">
      <formula1>INDIRECT($R$22)</formula1>
    </dataValidation>
    <dataValidation type="decimal" allowBlank="1" showInputMessage="1" showErrorMessage="1" error="Enter the number of hours as a number" promptTitle="Amount of 1:1 Hours" prompt="Enter the number of 1:1 hours in this cell, using decimal to state any fractions of an hour_x000a_eg for 2 1/2 hours put 2.5" sqref="B36:C36" xr:uid="{8D53C3F1-07BA-4E4E-8F6E-858A9397EB18}">
      <formula1>0</formula1>
      <formula2>1000000000000000000</formula2>
    </dataValidation>
  </dataValidations>
  <pageMargins left="0.70866141732283472" right="0.70866141732283472" top="0.35433070866141736" bottom="0.35433070866141736" header="0.31496062992125984" footer="0.31496062992125984"/>
  <pageSetup paperSize="9" scale="50" orientation="portrait" horizontalDpi="1200" verticalDpi="1200" r:id="rId1"/>
  <colBreaks count="1" manualBreakCount="1">
    <brk id="10" max="1048575" man="1"/>
  </colBreaks>
  <ignoredErrors>
    <ignoredError sqref="B45" unlockedFormula="1"/>
    <ignoredError sqref="G38 G63" evalError="1"/>
  </ignoredErrors>
  <drawing r:id="rId2"/>
  <extLst>
    <ext xmlns:x14="http://schemas.microsoft.com/office/spreadsheetml/2009/9/main" uri="{CCE6A557-97BC-4b89-ADB6-D9C93CAAB3DF}">
      <x14:dataValidations xmlns:xm="http://schemas.microsoft.com/office/excel/2006/main" xWindow="357" yWindow="776" count="2">
        <x14:dataValidation type="list" allowBlank="1" showInputMessage="1" showErrorMessage="1" xr:uid="{41BD8D12-2CA9-40DD-92F7-12E656A4C74D}">
          <x14:formula1>
            <xm:f>Lookup!$I$3:$I$12</xm:f>
          </x14:formula1>
          <xm:sqref>B7:H7</xm:sqref>
        </x14:dataValidation>
        <x14:dataValidation type="list" allowBlank="1" showInputMessage="1" showErrorMessage="1" xr:uid="{2D7495C7-DE67-4546-9762-76649C8DD7BE}">
          <x14:formula1>
            <xm:f>Lookup!$A$3:$A$4</xm:f>
          </x14:formula1>
          <xm:sqref>N3:O3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CE47-9DFC-42AE-BCBD-D29537EF3984}">
  <dimension ref="A1:I34"/>
  <sheetViews>
    <sheetView workbookViewId="0">
      <selection activeCell="B11" sqref="B11"/>
    </sheetView>
  </sheetViews>
  <sheetFormatPr defaultRowHeight="12.5" x14ac:dyDescent="0.25"/>
  <cols>
    <col min="1" max="1" width="22" bestFit="1" customWidth="1"/>
    <col min="2" max="2" width="16.81640625" customWidth="1"/>
    <col min="4" max="4" width="10.1796875" customWidth="1"/>
    <col min="6" max="6" width="3.453125" customWidth="1"/>
    <col min="7" max="7" width="9.7265625" customWidth="1"/>
  </cols>
  <sheetData>
    <row r="1" spans="1:7" ht="34.5" x14ac:dyDescent="0.25">
      <c r="B1" s="279" t="s">
        <v>354</v>
      </c>
      <c r="C1" s="279" t="s">
        <v>355</v>
      </c>
      <c r="D1" s="279" t="s">
        <v>356</v>
      </c>
      <c r="E1" s="279" t="s">
        <v>357</v>
      </c>
      <c r="F1" s="280"/>
      <c r="G1" s="279" t="s">
        <v>238</v>
      </c>
    </row>
    <row r="2" spans="1:7" ht="13" x14ac:dyDescent="0.3">
      <c r="A2" s="281" t="s">
        <v>238</v>
      </c>
      <c r="B2" s="282" t="b">
        <f>'CSE Calc'!B20&gt;0</f>
        <v>0</v>
      </c>
      <c r="C2" s="282" t="b">
        <f>'CSE Calc'!B22&gt;0</f>
        <v>0</v>
      </c>
      <c r="D2" s="282" t="b">
        <f>'CSE Calc'!$N$27&lt;&gt;""</f>
        <v>0</v>
      </c>
      <c r="E2" s="282" t="b">
        <f>'CSE Calc'!N30&lt;&gt;""</f>
        <v>1</v>
      </c>
      <c r="F2" s="283"/>
      <c r="G2" s="282" t="str">
        <f>IF(COUNTIF(B2:E2,TRUE)=4,"Y","N")</f>
        <v>N</v>
      </c>
    </row>
    <row r="3" spans="1:7" ht="13" thickBot="1" x14ac:dyDescent="0.3"/>
    <row r="4" spans="1:7" ht="13" x14ac:dyDescent="0.3">
      <c r="A4" s="240" t="s">
        <v>298</v>
      </c>
      <c r="B4" s="137"/>
    </row>
    <row r="5" spans="1:7" x14ac:dyDescent="0.25">
      <c r="A5" s="241" t="s">
        <v>297</v>
      </c>
      <c r="B5" s="242" t="str">
        <f>IF('CSE Calc'!$B$39="Yes",'CSE Calc'!$N$48&amp;" hrs of individual 1:1 daytime support per week to be funded by NCC",'CSE Calc'!$N$48&amp;" hrs of individual 1:1 daytime support per week")</f>
        <v>0 hrs of individual 1:1 daytime support per week</v>
      </c>
    </row>
    <row r="6" spans="1:7" ht="13" thickBot="1" x14ac:dyDescent="0.3">
      <c r="A6" s="243" t="s">
        <v>296</v>
      </c>
      <c r="B6" s="244" t="str">
        <f>IF('CSE Calc'!$B$39="Yes","Giving a Total Cost to NCC of","Giving a Total Cost of")</f>
        <v>Giving a Total Cost of</v>
      </c>
    </row>
    <row r="8" spans="1:7" ht="13" x14ac:dyDescent="0.3">
      <c r="B8" s="281" t="s">
        <v>358</v>
      </c>
    </row>
    <row r="9" spans="1:7" ht="13" x14ac:dyDescent="0.3">
      <c r="A9" s="20" t="s">
        <v>40</v>
      </c>
      <c r="B9" s="20" t="str">
        <f>IF('CSE Calc'!$B$27&lt;&gt;"",'CSE Calc'!$B$27,"")</f>
        <v/>
      </c>
    </row>
    <row r="10" spans="1:7" x14ac:dyDescent="0.25">
      <c r="A10" s="1" t="s">
        <v>37</v>
      </c>
      <c r="B10" s="1" t="str">
        <f>IF(AND('CSE Calc'!$B$36&gt;0,G2="Y"),A10,"")</f>
        <v/>
      </c>
    </row>
    <row r="11" spans="1:7" x14ac:dyDescent="0.25">
      <c r="A11" s="1" t="s">
        <v>44</v>
      </c>
      <c r="B11" s="22" t="str">
        <f ca="1">IF(AND('CSE Calc'!$N$27="Shared Hours",'CSE Calc'!$N$58&gt;0,G2="Y"),A11,"")</f>
        <v/>
      </c>
    </row>
    <row r="12" spans="1:7" x14ac:dyDescent="0.25">
      <c r="A12" s="1" t="s">
        <v>45</v>
      </c>
      <c r="B12" s="22" t="str">
        <f ca="1">IF(AND('CSE Calc'!$N$27="Shared Hours",'CSE Calc'!$N$59&gt;0,G2="Y"),A12,"")</f>
        <v/>
      </c>
    </row>
    <row r="13" spans="1:7" x14ac:dyDescent="0.25">
      <c r="A13" s="1" t="s">
        <v>38</v>
      </c>
      <c r="B13" s="1" t="str">
        <f>IF(AND('CSE Calc'!N27="Shared Hours",'CSE Calc'!B63="Yes",'CSE Calc'!B67&gt;0,G2="Y"),A13,"")</f>
        <v/>
      </c>
    </row>
    <row r="14" spans="1:7" x14ac:dyDescent="0.25">
      <c r="A14" s="1" t="s">
        <v>36</v>
      </c>
      <c r="B14" s="1" t="str">
        <f>IF(AND('CSE Calc'!B70&gt;0,G2="Y"),A14,"")</f>
        <v/>
      </c>
    </row>
    <row r="16" spans="1:7" ht="13" x14ac:dyDescent="0.3">
      <c r="B16" s="281" t="s">
        <v>359</v>
      </c>
    </row>
    <row r="17" spans="1:9" x14ac:dyDescent="0.25">
      <c r="A17" s="1" t="s">
        <v>360</v>
      </c>
      <c r="B17" t="str">
        <f>IF(B10&lt;&gt;"",$B$5&amp;" @ £"&amp;TEXT('CSE Calc'!$N$34,"0.00")&amp;"  = £"&amp;TEXT('CSE Calc'!$P$48,"0.00"),"")</f>
        <v/>
      </c>
    </row>
    <row r="18" spans="1:9" x14ac:dyDescent="0.25">
      <c r="A18" s="1" t="s">
        <v>361</v>
      </c>
      <c r="B18" t="str">
        <f ca="1">IF(B11&lt;&gt;"",SharedDaytimeContr&amp;" Hours of individual contribution to Shared Daytime Support per week @ £"&amp;TEXT('CSE Calc'!$N$34,"0.00")&amp;" per hour = £"&amp;TEXT('CSE Calc'!$P$58,"0.00"),"")</f>
        <v/>
      </c>
    </row>
    <row r="19" spans="1:9" x14ac:dyDescent="0.25">
      <c r="A19" s="1" t="s">
        <v>362</v>
      </c>
      <c r="B19" t="str">
        <f ca="1">IF(B12&lt;&gt;"",'CSE Calc'!$N$59&amp;" Hours of individual contribution to Shared Waking Nights Hours per week @ £"&amp;TEXT('CSE Calc'!$N$34,"0.00")&amp;" per hour = £"&amp;TEXT('CSE Calc'!$P$59,"0.00"),"")</f>
        <v/>
      </c>
    </row>
    <row r="20" spans="1:9" x14ac:dyDescent="0.25">
      <c r="A20" s="1" t="s">
        <v>363</v>
      </c>
      <c r="B20" t="str">
        <f>IF(B13&lt;&gt;"",(IF('CSE Calc'!$B$67=1,"Single Person Sleep-In costs with "&amp;'CSE Calc'!$N$66&amp;" shifts per week = £"&amp;TEXT('CSE Calc'!$P$67,"0.00"),"Individual contribution to Sleep-In costs per week with "&amp;'CSE Calc'!$N$66&amp;" shifts shared by "&amp;'CSE Calc'!$N$65&amp;" "&amp;'CSE Calc'!$O$65&amp;" = £"&amp;TEXT('CSE Calc'!$P$67,"0.00"))),"")</f>
        <v/>
      </c>
    </row>
    <row r="21" spans="1:9" x14ac:dyDescent="0.25">
      <c r="A21" s="1" t="s">
        <v>364</v>
      </c>
      <c r="B21" t="str">
        <f>IF(B14&lt;&gt;"",("Additional Costs per week"&amp;" =  £"&amp;TEXT('CSE Calc'!$B$70,"0.00")),"")</f>
        <v/>
      </c>
    </row>
    <row r="22" spans="1:9" x14ac:dyDescent="0.25">
      <c r="A22" s="23" t="s">
        <v>365</v>
      </c>
      <c r="B22" t="str">
        <f ca="1">IF(AND('CSE Calc'!$P$73&gt;0,G2="Y"),($B$6&amp;" £"&amp;TEXT('CSE Calc'!$P$73,"0.00")&amp;" per week"),"")</f>
        <v/>
      </c>
    </row>
    <row r="25" spans="1:9" ht="13" x14ac:dyDescent="0.3">
      <c r="A25" s="281" t="s">
        <v>366</v>
      </c>
    </row>
    <row r="26" spans="1:9" ht="13" x14ac:dyDescent="0.3">
      <c r="A26" s="281" t="s">
        <v>367</v>
      </c>
      <c r="B26" s="281" t="s">
        <v>368</v>
      </c>
    </row>
    <row r="27" spans="1:9" x14ac:dyDescent="0.25">
      <c r="A27" s="1" t="s">
        <v>369</v>
      </c>
      <c r="B27" s="21" t="str" cm="1">
        <f t="array" aca="1" ref="B27" ca="1">IF(ISERROR(_xlfn._xlws.FILTER(B17:B22,(B17:B22&lt;&gt;""))),"",(_xlfn._xlws.FILTER(B17:B22,(B17:B22&lt;&gt;""))))</f>
        <v/>
      </c>
      <c r="C27" s="34"/>
      <c r="D27" s="34"/>
      <c r="E27" s="34"/>
      <c r="F27" s="34"/>
      <c r="G27" s="34"/>
      <c r="H27" s="34"/>
      <c r="I27" s="3"/>
    </row>
    <row r="28" spans="1:9" x14ac:dyDescent="0.25">
      <c r="A28" s="1" t="s">
        <v>370</v>
      </c>
      <c r="B28" s="21"/>
      <c r="C28" s="34"/>
      <c r="D28" s="34"/>
      <c r="E28" s="34"/>
      <c r="F28" s="34"/>
      <c r="G28" s="34"/>
      <c r="H28" s="34"/>
      <c r="I28" s="3"/>
    </row>
    <row r="29" spans="1:9" x14ac:dyDescent="0.25">
      <c r="A29" s="1" t="s">
        <v>371</v>
      </c>
      <c r="B29" s="21"/>
      <c r="C29" s="34"/>
      <c r="D29" s="34"/>
      <c r="E29" s="34"/>
      <c r="F29" s="34"/>
      <c r="G29" s="34"/>
      <c r="H29" s="34"/>
      <c r="I29" s="3"/>
    </row>
    <row r="30" spans="1:9" x14ac:dyDescent="0.25">
      <c r="A30" s="1" t="s">
        <v>372</v>
      </c>
      <c r="B30" s="21"/>
      <c r="C30" s="34"/>
      <c r="D30" s="34"/>
      <c r="E30" s="34"/>
      <c r="F30" s="34"/>
      <c r="G30" s="34"/>
      <c r="H30" s="34"/>
      <c r="I30" s="3"/>
    </row>
    <row r="31" spans="1:9" x14ac:dyDescent="0.25">
      <c r="A31" s="1" t="s">
        <v>373</v>
      </c>
      <c r="B31" s="21"/>
      <c r="C31" s="34"/>
      <c r="D31" s="34"/>
      <c r="E31" s="34"/>
      <c r="F31" s="34"/>
      <c r="G31" s="34"/>
      <c r="H31" s="34"/>
      <c r="I31" s="3"/>
    </row>
    <row r="32" spans="1:9" x14ac:dyDescent="0.25">
      <c r="A32" s="1" t="s">
        <v>374</v>
      </c>
      <c r="B32" s="21"/>
      <c r="C32" s="34"/>
      <c r="D32" s="34"/>
      <c r="E32" s="34"/>
      <c r="F32" s="34"/>
      <c r="G32" s="34"/>
      <c r="H32" s="34"/>
      <c r="I32" s="3"/>
    </row>
    <row r="34" spans="1:2" x14ac:dyDescent="0.25">
      <c r="A34" s="1" t="s">
        <v>53</v>
      </c>
      <c r="B34" t="str">
        <f>"Overall support costing £"&amp;'CSE Calc'!$J$75&amp;" per week"</f>
        <v>Overall support costing £ per week</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57766-57CE-4EDD-AF17-E04F48FD6B24}">
  <sheetPr codeName="Sheet3" filterMode="1"/>
  <dimension ref="A1:P386"/>
  <sheetViews>
    <sheetView topLeftCell="B2" workbookViewId="0">
      <selection activeCell="C305" sqref="C305"/>
    </sheetView>
  </sheetViews>
  <sheetFormatPr defaultRowHeight="12.5" x14ac:dyDescent="0.25"/>
  <cols>
    <col min="1" max="1" width="13.81640625" customWidth="1"/>
    <col min="2" max="2" width="22.54296875" customWidth="1"/>
    <col min="3" max="3" width="28.7265625" customWidth="1"/>
    <col min="4" max="4" width="88.453125" customWidth="1"/>
    <col min="5" max="5" width="9.26953125" customWidth="1"/>
    <col min="6" max="6" width="17.453125" customWidth="1"/>
    <col min="7" max="7" width="74" customWidth="1"/>
    <col min="9" max="9" width="10.54296875" customWidth="1"/>
    <col min="10" max="10" width="70.1796875" hidden="1" customWidth="1"/>
    <col min="11" max="11" width="32.81640625" hidden="1" customWidth="1"/>
    <col min="12" max="14" width="8.81640625" bestFit="1" customWidth="1"/>
    <col min="15" max="16" width="9.81640625" bestFit="1" customWidth="1"/>
  </cols>
  <sheetData>
    <row r="1" spans="1:11" ht="58.5" customHeight="1" thickBot="1" x14ac:dyDescent="0.3">
      <c r="A1" s="358" t="s">
        <v>381</v>
      </c>
      <c r="B1" s="359"/>
      <c r="C1" s="359"/>
      <c r="D1" s="359"/>
      <c r="E1" s="359"/>
      <c r="F1" s="359"/>
      <c r="G1" s="359"/>
      <c r="H1" s="359"/>
      <c r="I1" s="359"/>
      <c r="J1" s="360"/>
    </row>
    <row r="2" spans="1:11" ht="92.25" customHeight="1" thickBot="1" x14ac:dyDescent="0.3">
      <c r="A2" s="217" t="s">
        <v>246</v>
      </c>
      <c r="B2" s="28" t="s">
        <v>27</v>
      </c>
      <c r="C2" s="28" t="s">
        <v>28</v>
      </c>
      <c r="D2" s="28" t="s">
        <v>34</v>
      </c>
      <c r="E2" s="28" t="s">
        <v>379</v>
      </c>
      <c r="F2" s="132" t="s">
        <v>380</v>
      </c>
      <c r="G2" s="28" t="s">
        <v>46</v>
      </c>
      <c r="H2" s="132" t="s">
        <v>65</v>
      </c>
      <c r="I2" s="132" t="s">
        <v>66</v>
      </c>
      <c r="J2" s="133" t="s">
        <v>152</v>
      </c>
    </row>
    <row r="3" spans="1:11" ht="14.5" hidden="1" x14ac:dyDescent="0.35">
      <c r="A3" s="194" t="s">
        <v>155</v>
      </c>
      <c r="B3" s="134" t="s">
        <v>8</v>
      </c>
      <c r="C3" s="134" t="s">
        <v>163</v>
      </c>
      <c r="D3" s="134" t="str">
        <f t="shared" ref="D3:D66" si="0">A3&amp;B3&amp;C3</f>
        <v>LegacyOutreachAspirations Care Ltd</v>
      </c>
      <c r="E3" s="135">
        <v>23.3</v>
      </c>
      <c r="F3" s="174">
        <v>24</v>
      </c>
      <c r="G3" s="134" t="str">
        <f t="shared" ref="G3:G66" si="1">A3&amp;B3&amp;C3&amp;"Sleep-in"</f>
        <v>LegacyOutreachAspirations Care LtdSleep-in</v>
      </c>
      <c r="H3" s="136">
        <v>0</v>
      </c>
      <c r="I3" s="136">
        <v>0</v>
      </c>
      <c r="J3" s="137" t="s">
        <v>164</v>
      </c>
      <c r="K3" s="194" t="s">
        <v>250</v>
      </c>
    </row>
    <row r="4" spans="1:11" ht="14.5" hidden="1" x14ac:dyDescent="0.35">
      <c r="A4" s="195" t="s">
        <v>155</v>
      </c>
      <c r="B4" s="6" t="s">
        <v>8</v>
      </c>
      <c r="C4" s="6" t="s">
        <v>9</v>
      </c>
      <c r="D4" s="6" t="str">
        <f t="shared" si="0"/>
        <v>LegacyOutreachBlue Sky</v>
      </c>
      <c r="E4" s="31">
        <v>23.8</v>
      </c>
      <c r="F4" s="138">
        <v>24</v>
      </c>
      <c r="G4" s="6" t="str">
        <f t="shared" si="1"/>
        <v>LegacyOutreachBlue SkySleep-in</v>
      </c>
      <c r="H4" s="139">
        <v>0</v>
      </c>
      <c r="I4" s="139">
        <v>0</v>
      </c>
      <c r="J4" s="253" t="s">
        <v>165</v>
      </c>
      <c r="K4" s="195" t="s">
        <v>250</v>
      </c>
    </row>
    <row r="5" spans="1:11" ht="14.5" hidden="1" x14ac:dyDescent="0.35">
      <c r="A5" s="195" t="s">
        <v>155</v>
      </c>
      <c r="B5" s="6" t="s">
        <v>8</v>
      </c>
      <c r="C5" s="6" t="s">
        <v>10</v>
      </c>
      <c r="D5" s="6" t="str">
        <f t="shared" si="0"/>
        <v>LegacyOutreachChoice Support</v>
      </c>
      <c r="E5" s="7">
        <v>23.3</v>
      </c>
      <c r="F5" s="141">
        <v>24</v>
      </c>
      <c r="G5" s="6" t="str">
        <f t="shared" si="1"/>
        <v>LegacyOutreachChoice SupportSleep-in</v>
      </c>
      <c r="H5" s="139">
        <v>0</v>
      </c>
      <c r="I5" s="139">
        <v>0</v>
      </c>
      <c r="J5" s="140" t="s">
        <v>164</v>
      </c>
      <c r="K5" s="195" t="s">
        <v>250</v>
      </c>
    </row>
    <row r="6" spans="1:11" ht="14.5" x14ac:dyDescent="0.35">
      <c r="A6" s="195" t="s">
        <v>155</v>
      </c>
      <c r="B6" s="6" t="s">
        <v>8</v>
      </c>
      <c r="C6" s="6" t="s">
        <v>11</v>
      </c>
      <c r="D6" s="6" t="str">
        <f t="shared" si="0"/>
        <v>LegacyOutreachCIC</v>
      </c>
      <c r="E6" s="7">
        <v>23.8</v>
      </c>
      <c r="F6" s="141">
        <v>24</v>
      </c>
      <c r="G6" s="6" t="str">
        <f t="shared" si="1"/>
        <v>LegacyOutreachCICSleep-in</v>
      </c>
      <c r="H6" s="139">
        <v>0</v>
      </c>
      <c r="I6" s="139">
        <v>0</v>
      </c>
      <c r="J6" s="253" t="s">
        <v>165</v>
      </c>
      <c r="K6" s="195" t="s">
        <v>250</v>
      </c>
    </row>
    <row r="7" spans="1:11" ht="14.5" hidden="1" x14ac:dyDescent="0.35">
      <c r="A7" s="195" t="s">
        <v>155</v>
      </c>
      <c r="B7" s="6" t="s">
        <v>8</v>
      </c>
      <c r="C7" s="6" t="s">
        <v>166</v>
      </c>
      <c r="D7" s="6" t="str">
        <f t="shared" si="0"/>
        <v>LegacyOutreachEden Supported Living Ltd</v>
      </c>
      <c r="E7" s="7">
        <v>23.35</v>
      </c>
      <c r="F7" s="141">
        <v>24</v>
      </c>
      <c r="G7" s="6" t="str">
        <f t="shared" si="1"/>
        <v>LegacyOutreachEden Supported Living LtdSleep-in</v>
      </c>
      <c r="H7" s="139">
        <v>0</v>
      </c>
      <c r="I7" s="139">
        <v>0</v>
      </c>
      <c r="J7" s="253" t="s">
        <v>167</v>
      </c>
      <c r="K7" s="195" t="s">
        <v>250</v>
      </c>
    </row>
    <row r="8" spans="1:11" ht="14.5" hidden="1" x14ac:dyDescent="0.35">
      <c r="A8" s="195" t="s">
        <v>155</v>
      </c>
      <c r="B8" s="6" t="s">
        <v>8</v>
      </c>
      <c r="C8" s="6" t="s">
        <v>12</v>
      </c>
      <c r="D8" s="6" t="str">
        <f t="shared" si="0"/>
        <v>LegacyOutreachFitzroy</v>
      </c>
      <c r="E8" s="31">
        <v>23.8</v>
      </c>
      <c r="F8" s="138">
        <v>24</v>
      </c>
      <c r="G8" s="6" t="str">
        <f t="shared" si="1"/>
        <v>LegacyOutreachFitzroySleep-in</v>
      </c>
      <c r="H8" s="139">
        <v>0</v>
      </c>
      <c r="I8" s="139">
        <v>0</v>
      </c>
      <c r="J8" s="253" t="s">
        <v>165</v>
      </c>
      <c r="K8" s="195" t="s">
        <v>250</v>
      </c>
    </row>
    <row r="9" spans="1:11" ht="14.5" hidden="1" x14ac:dyDescent="0.35">
      <c r="A9" s="195" t="s">
        <v>155</v>
      </c>
      <c r="B9" s="6" t="s">
        <v>8</v>
      </c>
      <c r="C9" s="6" t="s">
        <v>60</v>
      </c>
      <c r="D9" s="6" t="str">
        <f t="shared" si="0"/>
        <v>LegacyOutreachJRH Support (Nottingham)</v>
      </c>
      <c r="E9" s="7">
        <v>23.3</v>
      </c>
      <c r="F9" s="141">
        <v>24</v>
      </c>
      <c r="G9" s="6" t="str">
        <f t="shared" si="1"/>
        <v>LegacyOutreachJRH Support (Nottingham)Sleep-in</v>
      </c>
      <c r="H9" s="139">
        <v>0</v>
      </c>
      <c r="I9" s="139">
        <v>0</v>
      </c>
      <c r="J9" s="140" t="s">
        <v>164</v>
      </c>
      <c r="K9" s="195" t="s">
        <v>250</v>
      </c>
    </row>
    <row r="10" spans="1:11" ht="14.5" hidden="1" x14ac:dyDescent="0.35">
      <c r="A10" s="195" t="s">
        <v>155</v>
      </c>
      <c r="B10" s="6" t="s">
        <v>8</v>
      </c>
      <c r="C10" s="6" t="s">
        <v>14</v>
      </c>
      <c r="D10" s="6" t="str">
        <f t="shared" si="0"/>
        <v>LegacyOutreachLifeways</v>
      </c>
      <c r="E10" s="7">
        <v>23.8</v>
      </c>
      <c r="F10" s="141">
        <v>24</v>
      </c>
      <c r="G10" s="6" t="str">
        <f t="shared" si="1"/>
        <v>LegacyOutreachLifewaysSleep-in</v>
      </c>
      <c r="H10" s="139">
        <v>0</v>
      </c>
      <c r="I10" s="139">
        <v>0</v>
      </c>
      <c r="J10" s="253" t="s">
        <v>165</v>
      </c>
      <c r="K10" s="195" t="s">
        <v>250</v>
      </c>
    </row>
    <row r="11" spans="1:11" ht="14.5" hidden="1" x14ac:dyDescent="0.35">
      <c r="A11" s="195" t="s">
        <v>155</v>
      </c>
      <c r="B11" s="6" t="s">
        <v>8</v>
      </c>
      <c r="C11" s="6" t="s">
        <v>54</v>
      </c>
      <c r="D11" s="6" t="str">
        <f t="shared" si="0"/>
        <v>LegacyOutreachMencap (Rushcliffe) - Royal Mencap Society</v>
      </c>
      <c r="E11" s="31">
        <v>23.8</v>
      </c>
      <c r="F11" s="138">
        <v>24</v>
      </c>
      <c r="G11" s="6" t="str">
        <f t="shared" si="1"/>
        <v>LegacyOutreachMencap (Rushcliffe) - Royal Mencap SocietySleep-in</v>
      </c>
      <c r="H11" s="139">
        <v>0</v>
      </c>
      <c r="I11" s="139">
        <v>0</v>
      </c>
      <c r="J11" s="253" t="s">
        <v>165</v>
      </c>
      <c r="K11" s="195" t="s">
        <v>250</v>
      </c>
    </row>
    <row r="12" spans="1:11" ht="14.5" hidden="1" x14ac:dyDescent="0.35">
      <c r="A12" s="195" t="s">
        <v>155</v>
      </c>
      <c r="B12" s="6" t="s">
        <v>8</v>
      </c>
      <c r="C12" s="6" t="s">
        <v>55</v>
      </c>
      <c r="D12" s="6" t="str">
        <f t="shared" si="0"/>
        <v>LegacyOutreachMencap (Worksop) - Royal Mencap Society</v>
      </c>
      <c r="E12" s="31">
        <v>23.8</v>
      </c>
      <c r="F12" s="138">
        <v>24</v>
      </c>
      <c r="G12" s="6" t="str">
        <f t="shared" si="1"/>
        <v>LegacyOutreachMencap (Worksop) - Royal Mencap SocietySleep-in</v>
      </c>
      <c r="H12" s="139">
        <v>0</v>
      </c>
      <c r="I12" s="139">
        <v>0</v>
      </c>
      <c r="J12" s="253" t="s">
        <v>165</v>
      </c>
      <c r="K12" s="195" t="s">
        <v>250</v>
      </c>
    </row>
    <row r="13" spans="1:11" ht="14.5" hidden="1" x14ac:dyDescent="0.35">
      <c r="A13" s="195" t="s">
        <v>155</v>
      </c>
      <c r="B13" s="6" t="s">
        <v>8</v>
      </c>
      <c r="C13" s="6" t="s">
        <v>56</v>
      </c>
      <c r="D13" s="6" t="str">
        <f t="shared" si="0"/>
        <v>LegacyOutreachMencap Nottm- Gener8</v>
      </c>
      <c r="E13" s="31">
        <v>23.8</v>
      </c>
      <c r="F13" s="138">
        <v>24</v>
      </c>
      <c r="G13" s="6" t="str">
        <f t="shared" si="1"/>
        <v>LegacyOutreachMencap Nottm- Gener8Sleep-in</v>
      </c>
      <c r="H13" s="139">
        <v>0</v>
      </c>
      <c r="I13" s="139">
        <v>0</v>
      </c>
      <c r="J13" s="253" t="s">
        <v>165</v>
      </c>
      <c r="K13" s="195" t="s">
        <v>250</v>
      </c>
    </row>
    <row r="14" spans="1:11" ht="14.5" hidden="1" x14ac:dyDescent="0.35">
      <c r="A14" s="195" t="s">
        <v>155</v>
      </c>
      <c r="B14" s="6" t="s">
        <v>8</v>
      </c>
      <c r="C14" s="6" t="s">
        <v>15</v>
      </c>
      <c r="D14" s="6" t="str">
        <f t="shared" si="0"/>
        <v>LegacyOutreachNCHA</v>
      </c>
      <c r="E14" s="7">
        <v>23.3</v>
      </c>
      <c r="F14" s="141">
        <v>24</v>
      </c>
      <c r="G14" s="6" t="str">
        <f t="shared" si="1"/>
        <v>LegacyOutreachNCHASleep-in</v>
      </c>
      <c r="H14" s="139">
        <v>0</v>
      </c>
      <c r="I14" s="139">
        <v>0</v>
      </c>
      <c r="J14" s="140" t="s">
        <v>164</v>
      </c>
      <c r="K14" s="195" t="s">
        <v>250</v>
      </c>
    </row>
    <row r="15" spans="1:11" ht="14.5" hidden="1" x14ac:dyDescent="0.35">
      <c r="A15" s="195" t="s">
        <v>155</v>
      </c>
      <c r="B15" s="6" t="s">
        <v>8</v>
      </c>
      <c r="C15" s="6" t="s">
        <v>168</v>
      </c>
      <c r="D15" s="6" t="str">
        <f t="shared" si="0"/>
        <v>LegacyOutreachReal Life Options</v>
      </c>
      <c r="E15" s="7">
        <v>23.8</v>
      </c>
      <c r="F15" s="141">
        <v>24</v>
      </c>
      <c r="G15" s="6" t="str">
        <f t="shared" si="1"/>
        <v>LegacyOutreachReal Life OptionsSleep-in</v>
      </c>
      <c r="H15" s="139">
        <v>0</v>
      </c>
      <c r="I15" s="139">
        <v>0</v>
      </c>
      <c r="J15" s="253" t="s">
        <v>165</v>
      </c>
      <c r="K15" s="195" t="s">
        <v>250</v>
      </c>
    </row>
    <row r="16" spans="1:11" ht="14.5" hidden="1" x14ac:dyDescent="0.35">
      <c r="A16" s="195" t="s">
        <v>155</v>
      </c>
      <c r="B16" s="6" t="s">
        <v>8</v>
      </c>
      <c r="C16" s="6" t="s">
        <v>16</v>
      </c>
      <c r="D16" s="6" t="str">
        <f t="shared" si="0"/>
        <v>LegacyOutreachThera</v>
      </c>
      <c r="E16" s="31">
        <v>23.8</v>
      </c>
      <c r="F16" s="138">
        <v>24</v>
      </c>
      <c r="G16" s="6" t="str">
        <f t="shared" si="1"/>
        <v>LegacyOutreachTheraSleep-in</v>
      </c>
      <c r="H16" s="139">
        <v>0</v>
      </c>
      <c r="I16" s="139">
        <v>0</v>
      </c>
      <c r="J16" s="253" t="s">
        <v>165</v>
      </c>
      <c r="K16" s="195" t="s">
        <v>250</v>
      </c>
    </row>
    <row r="17" spans="1:11" ht="14.5" hidden="1" x14ac:dyDescent="0.35">
      <c r="A17" s="195" t="s">
        <v>155</v>
      </c>
      <c r="B17" s="6" t="s">
        <v>8</v>
      </c>
      <c r="C17" s="6" t="s">
        <v>17</v>
      </c>
      <c r="D17" s="6" t="str">
        <f t="shared" si="0"/>
        <v>LegacyOutreachUnited Response</v>
      </c>
      <c r="E17" s="7">
        <v>23.8</v>
      </c>
      <c r="F17" s="141">
        <v>24</v>
      </c>
      <c r="G17" s="6" t="str">
        <f t="shared" si="1"/>
        <v>LegacyOutreachUnited ResponseSleep-in</v>
      </c>
      <c r="H17" s="139">
        <v>0</v>
      </c>
      <c r="I17" s="139">
        <v>0</v>
      </c>
      <c r="J17" s="253" t="s">
        <v>165</v>
      </c>
      <c r="K17" s="195" t="s">
        <v>250</v>
      </c>
    </row>
    <row r="18" spans="1:11" ht="15" hidden="1" thickBot="1" x14ac:dyDescent="0.4">
      <c r="A18" s="218" t="s">
        <v>155</v>
      </c>
      <c r="B18" s="142" t="s">
        <v>8</v>
      </c>
      <c r="C18" s="142" t="s">
        <v>18</v>
      </c>
      <c r="D18" s="142" t="str">
        <f t="shared" si="0"/>
        <v>LegacyOutreachVoyage</v>
      </c>
      <c r="E18" s="143">
        <v>23.3</v>
      </c>
      <c r="F18" s="157">
        <v>24</v>
      </c>
      <c r="G18" s="142" t="str">
        <f t="shared" si="1"/>
        <v>LegacyOutreachVoyageSleep-in</v>
      </c>
      <c r="H18" s="144">
        <v>0</v>
      </c>
      <c r="I18" s="144">
        <v>0</v>
      </c>
      <c r="J18" s="145" t="s">
        <v>164</v>
      </c>
      <c r="K18" s="218" t="s">
        <v>250</v>
      </c>
    </row>
    <row r="19" spans="1:11" ht="14.5" hidden="1" x14ac:dyDescent="0.35">
      <c r="A19" s="254" t="s">
        <v>155</v>
      </c>
      <c r="B19" s="146" t="s">
        <v>7</v>
      </c>
      <c r="C19" s="146" t="s">
        <v>163</v>
      </c>
      <c r="D19" s="146" t="str">
        <f t="shared" si="0"/>
        <v>LegacySupported LivingAspirations Care Ltd</v>
      </c>
      <c r="E19" s="147">
        <v>23.3</v>
      </c>
      <c r="F19" s="174">
        <v>24</v>
      </c>
      <c r="G19" s="146" t="str">
        <f t="shared" si="1"/>
        <v>LegacySupported LivingAspirations Care LtdSleep-in</v>
      </c>
      <c r="H19" s="174">
        <v>124.43</v>
      </c>
      <c r="I19" s="174">
        <v>871.01</v>
      </c>
      <c r="J19" s="137" t="s">
        <v>169</v>
      </c>
      <c r="K19" s="219" t="s">
        <v>250</v>
      </c>
    </row>
    <row r="20" spans="1:11" ht="14.5" hidden="1" x14ac:dyDescent="0.35">
      <c r="A20" s="8" t="s">
        <v>155</v>
      </c>
      <c r="B20" s="8" t="s">
        <v>7</v>
      </c>
      <c r="C20" s="8" t="s">
        <v>9</v>
      </c>
      <c r="D20" s="8" t="str">
        <f t="shared" si="0"/>
        <v>LegacySupported LivingBlue Sky</v>
      </c>
      <c r="E20" s="9">
        <v>23.3</v>
      </c>
      <c r="F20" s="141">
        <v>24</v>
      </c>
      <c r="G20" s="8" t="str">
        <f t="shared" si="1"/>
        <v>LegacySupported LivingBlue SkySleep-in</v>
      </c>
      <c r="H20" s="141">
        <v>124.43</v>
      </c>
      <c r="I20" s="141">
        <v>871.01</v>
      </c>
      <c r="J20" s="140" t="s">
        <v>169</v>
      </c>
      <c r="K20" s="220" t="s">
        <v>250</v>
      </c>
    </row>
    <row r="21" spans="1:11" ht="14.5" hidden="1" x14ac:dyDescent="0.35">
      <c r="A21" s="8" t="s">
        <v>155</v>
      </c>
      <c r="B21" s="8" t="s">
        <v>7</v>
      </c>
      <c r="C21" s="8" t="s">
        <v>10</v>
      </c>
      <c r="D21" s="8" t="str">
        <f t="shared" si="0"/>
        <v>LegacySupported LivingChoice Support</v>
      </c>
      <c r="E21" s="9">
        <v>23.3</v>
      </c>
      <c r="F21" s="141">
        <v>24</v>
      </c>
      <c r="G21" s="8" t="str">
        <f t="shared" si="1"/>
        <v>LegacySupported LivingChoice SupportSleep-in</v>
      </c>
      <c r="H21" s="141">
        <v>124.43</v>
      </c>
      <c r="I21" s="141">
        <v>871.01</v>
      </c>
      <c r="J21" s="140" t="s">
        <v>169</v>
      </c>
      <c r="K21" s="220" t="s">
        <v>250</v>
      </c>
    </row>
    <row r="22" spans="1:11" ht="15" thickBot="1" x14ac:dyDescent="0.4">
      <c r="A22" s="8" t="s">
        <v>155</v>
      </c>
      <c r="B22" s="8" t="s">
        <v>7</v>
      </c>
      <c r="C22" s="8" t="s">
        <v>11</v>
      </c>
      <c r="D22" s="8" t="str">
        <f t="shared" si="0"/>
        <v>LegacySupported LivingCIC</v>
      </c>
      <c r="E22" s="9">
        <v>23.3</v>
      </c>
      <c r="F22" s="141">
        <v>24</v>
      </c>
      <c r="G22" s="8" t="str">
        <f t="shared" si="1"/>
        <v>LegacySupported LivingCICSleep-in</v>
      </c>
      <c r="H22" s="141">
        <v>124.43</v>
      </c>
      <c r="I22" s="141">
        <v>871.01</v>
      </c>
      <c r="J22" s="140" t="s">
        <v>169</v>
      </c>
      <c r="K22" s="220" t="s">
        <v>250</v>
      </c>
    </row>
    <row r="23" spans="1:11" ht="15" hidden="1" thickBot="1" x14ac:dyDescent="0.4">
      <c r="A23" s="8" t="s">
        <v>155</v>
      </c>
      <c r="B23" s="8" t="s">
        <v>7</v>
      </c>
      <c r="C23" s="8" t="s">
        <v>166</v>
      </c>
      <c r="D23" s="8" t="str">
        <f t="shared" si="0"/>
        <v>LegacySupported LivingEden Supported Living Ltd</v>
      </c>
      <c r="E23" s="9">
        <v>23.3</v>
      </c>
      <c r="F23" s="141">
        <v>24</v>
      </c>
      <c r="G23" s="8" t="str">
        <f t="shared" si="1"/>
        <v>LegacySupported LivingEden Supported Living LtdSleep-in</v>
      </c>
      <c r="H23" s="138">
        <v>110.62</v>
      </c>
      <c r="I23" s="138">
        <v>774.32</v>
      </c>
      <c r="J23" s="140" t="s">
        <v>169</v>
      </c>
      <c r="K23" s="220" t="s">
        <v>250</v>
      </c>
    </row>
    <row r="24" spans="1:11" ht="15" hidden="1" thickBot="1" x14ac:dyDescent="0.4">
      <c r="A24" s="8" t="s">
        <v>155</v>
      </c>
      <c r="B24" s="8" t="s">
        <v>7</v>
      </c>
      <c r="C24" s="8" t="s">
        <v>12</v>
      </c>
      <c r="D24" s="8" t="str">
        <f t="shared" si="0"/>
        <v>LegacySupported LivingFitzroy</v>
      </c>
      <c r="E24" s="30">
        <v>23.3</v>
      </c>
      <c r="F24" s="138">
        <v>24</v>
      </c>
      <c r="G24" s="8" t="str">
        <f t="shared" si="1"/>
        <v>LegacySupported LivingFitzroySleep-in</v>
      </c>
      <c r="H24" s="141">
        <v>124.43</v>
      </c>
      <c r="I24" s="141">
        <v>871.01</v>
      </c>
      <c r="J24" s="140" t="s">
        <v>169</v>
      </c>
      <c r="K24" s="220" t="s">
        <v>250</v>
      </c>
    </row>
    <row r="25" spans="1:11" ht="15" hidden="1" thickBot="1" x14ac:dyDescent="0.4">
      <c r="A25" s="8" t="s">
        <v>155</v>
      </c>
      <c r="B25" s="8" t="s">
        <v>7</v>
      </c>
      <c r="C25" s="24" t="s">
        <v>61</v>
      </c>
      <c r="D25" s="8" t="str">
        <f t="shared" si="0"/>
        <v>LegacySupported LivingFuture Home Care Campus - no TUPE</v>
      </c>
      <c r="E25" s="9">
        <v>23.3</v>
      </c>
      <c r="F25" s="141">
        <v>24</v>
      </c>
      <c r="G25" s="8" t="str">
        <f t="shared" si="1"/>
        <v>LegacySupported LivingFuture Home Care Campus - no TUPESleep-in</v>
      </c>
      <c r="H25" s="141">
        <v>124.43</v>
      </c>
      <c r="I25" s="141">
        <v>871.01</v>
      </c>
      <c r="J25" s="140" t="s">
        <v>169</v>
      </c>
      <c r="K25" s="220" t="s">
        <v>250</v>
      </c>
    </row>
    <row r="26" spans="1:11" ht="15" hidden="1" thickBot="1" x14ac:dyDescent="0.4">
      <c r="A26" s="8" t="s">
        <v>155</v>
      </c>
      <c r="B26" s="8" t="s">
        <v>7</v>
      </c>
      <c r="C26" s="8" t="s">
        <v>60</v>
      </c>
      <c r="D26" s="8" t="str">
        <f t="shared" si="0"/>
        <v>LegacySupported LivingJRH Support (Nottingham)</v>
      </c>
      <c r="E26" s="9">
        <v>23.3</v>
      </c>
      <c r="F26" s="141">
        <v>24</v>
      </c>
      <c r="G26" s="8" t="str">
        <f t="shared" si="1"/>
        <v>LegacySupported LivingJRH Support (Nottingham)Sleep-in</v>
      </c>
      <c r="H26" s="141">
        <v>124.43</v>
      </c>
      <c r="I26" s="141">
        <v>871.01</v>
      </c>
      <c r="J26" s="140" t="s">
        <v>169</v>
      </c>
      <c r="K26" s="220" t="s">
        <v>250</v>
      </c>
    </row>
    <row r="27" spans="1:11" ht="15" hidden="1" thickBot="1" x14ac:dyDescent="0.4">
      <c r="A27" s="8" t="s">
        <v>155</v>
      </c>
      <c r="B27" s="8" t="s">
        <v>7</v>
      </c>
      <c r="C27" s="8" t="s">
        <v>14</v>
      </c>
      <c r="D27" s="8" t="str">
        <f t="shared" si="0"/>
        <v>LegacySupported LivingLifeways</v>
      </c>
      <c r="E27" s="9">
        <v>23.3</v>
      </c>
      <c r="F27" s="141">
        <v>24</v>
      </c>
      <c r="G27" s="8" t="str">
        <f t="shared" si="1"/>
        <v>LegacySupported LivingLifewaysSleep-in</v>
      </c>
      <c r="H27" s="141">
        <v>124.43</v>
      </c>
      <c r="I27" s="141">
        <v>871.01</v>
      </c>
      <c r="J27" s="140" t="s">
        <v>169</v>
      </c>
      <c r="K27" s="220" t="s">
        <v>250</v>
      </c>
    </row>
    <row r="28" spans="1:11" ht="15" hidden="1" thickBot="1" x14ac:dyDescent="0.4">
      <c r="A28" s="8" t="s">
        <v>155</v>
      </c>
      <c r="B28" s="8" t="s">
        <v>7</v>
      </c>
      <c r="C28" s="8" t="s">
        <v>54</v>
      </c>
      <c r="D28" s="8" t="str">
        <f t="shared" si="0"/>
        <v>LegacySupported LivingMencap (Rushcliffe) - Royal Mencap Society</v>
      </c>
      <c r="E28" s="30">
        <v>23.3</v>
      </c>
      <c r="F28" s="138">
        <v>24</v>
      </c>
      <c r="G28" s="8" t="str">
        <f t="shared" si="1"/>
        <v>LegacySupported LivingMencap (Rushcliffe) - Royal Mencap SocietySleep-in</v>
      </c>
      <c r="H28" s="141">
        <v>124.43</v>
      </c>
      <c r="I28" s="141">
        <v>871.01</v>
      </c>
      <c r="J28" s="140" t="s">
        <v>169</v>
      </c>
      <c r="K28" s="220" t="s">
        <v>250</v>
      </c>
    </row>
    <row r="29" spans="1:11" ht="15" hidden="1" thickBot="1" x14ac:dyDescent="0.4">
      <c r="A29" s="8" t="s">
        <v>155</v>
      </c>
      <c r="B29" s="8" t="s">
        <v>7</v>
      </c>
      <c r="C29" s="8" t="s">
        <v>55</v>
      </c>
      <c r="D29" s="8" t="str">
        <f t="shared" si="0"/>
        <v>LegacySupported LivingMencap (Worksop) - Royal Mencap Society</v>
      </c>
      <c r="E29" s="30">
        <v>23.3</v>
      </c>
      <c r="F29" s="138">
        <v>24</v>
      </c>
      <c r="G29" s="8" t="str">
        <f t="shared" si="1"/>
        <v>LegacySupported LivingMencap (Worksop) - Royal Mencap SocietySleep-in</v>
      </c>
      <c r="H29" s="141">
        <v>124.43</v>
      </c>
      <c r="I29" s="141">
        <v>871.01</v>
      </c>
      <c r="J29" s="140" t="s">
        <v>169</v>
      </c>
      <c r="K29" s="220" t="s">
        <v>250</v>
      </c>
    </row>
    <row r="30" spans="1:11" ht="15" hidden="1" thickBot="1" x14ac:dyDescent="0.4">
      <c r="A30" s="8" t="s">
        <v>155</v>
      </c>
      <c r="B30" s="8" t="s">
        <v>7</v>
      </c>
      <c r="C30" s="8" t="s">
        <v>57</v>
      </c>
      <c r="D30" s="8" t="str">
        <f t="shared" si="0"/>
        <v>LegacySupported LivingMencap Ex Partnership Homes - Royal Mencap Society</v>
      </c>
      <c r="E30" s="30">
        <v>23.3</v>
      </c>
      <c r="F30" s="138">
        <v>24</v>
      </c>
      <c r="G30" s="8" t="str">
        <f t="shared" si="1"/>
        <v>LegacySupported LivingMencap Ex Partnership Homes - Royal Mencap SocietySleep-in</v>
      </c>
      <c r="H30" s="141">
        <v>124.43</v>
      </c>
      <c r="I30" s="141">
        <v>871.01</v>
      </c>
      <c r="J30" s="140" t="s">
        <v>169</v>
      </c>
      <c r="K30" s="220" t="s">
        <v>250</v>
      </c>
    </row>
    <row r="31" spans="1:11" ht="15" hidden="1" thickBot="1" x14ac:dyDescent="0.4">
      <c r="A31" s="8" t="s">
        <v>155</v>
      </c>
      <c r="B31" s="8" t="s">
        <v>7</v>
      </c>
      <c r="C31" s="8" t="s">
        <v>56</v>
      </c>
      <c r="D31" s="8" t="str">
        <f t="shared" si="0"/>
        <v>LegacySupported LivingMencap Nottm- Gener8</v>
      </c>
      <c r="E31" s="30">
        <v>23.3</v>
      </c>
      <c r="F31" s="138">
        <v>24</v>
      </c>
      <c r="G31" s="8" t="str">
        <f t="shared" si="1"/>
        <v>LegacySupported LivingMencap Nottm- Gener8Sleep-in</v>
      </c>
      <c r="H31" s="141">
        <v>124.43</v>
      </c>
      <c r="I31" s="141">
        <v>871.01</v>
      </c>
      <c r="J31" s="140" t="s">
        <v>169</v>
      </c>
      <c r="K31" s="220" t="s">
        <v>250</v>
      </c>
    </row>
    <row r="32" spans="1:11" ht="15" hidden="1" thickBot="1" x14ac:dyDescent="0.4">
      <c r="A32" s="8" t="s">
        <v>155</v>
      </c>
      <c r="B32" s="8" t="s">
        <v>7</v>
      </c>
      <c r="C32" s="8" t="s">
        <v>15</v>
      </c>
      <c r="D32" s="8" t="str">
        <f t="shared" si="0"/>
        <v>LegacySupported LivingNCHA</v>
      </c>
      <c r="E32" s="9">
        <v>23.3</v>
      </c>
      <c r="F32" s="141">
        <v>24</v>
      </c>
      <c r="G32" s="8" t="str">
        <f t="shared" si="1"/>
        <v>LegacySupported LivingNCHASleep-in</v>
      </c>
      <c r="H32" s="141">
        <v>124.43</v>
      </c>
      <c r="I32" s="141">
        <v>871.01</v>
      </c>
      <c r="J32" s="140" t="s">
        <v>169</v>
      </c>
      <c r="K32" s="220" t="s">
        <v>250</v>
      </c>
    </row>
    <row r="33" spans="1:11" ht="15" hidden="1" thickBot="1" x14ac:dyDescent="0.4">
      <c r="A33" s="8" t="s">
        <v>155</v>
      </c>
      <c r="B33" s="8" t="s">
        <v>7</v>
      </c>
      <c r="C33" s="8" t="s">
        <v>168</v>
      </c>
      <c r="D33" s="8" t="str">
        <f t="shared" si="0"/>
        <v>LegacySupported LivingReal Life Options</v>
      </c>
      <c r="E33" s="9">
        <v>23.3</v>
      </c>
      <c r="F33" s="141">
        <v>24</v>
      </c>
      <c r="G33" s="8" t="str">
        <f t="shared" si="1"/>
        <v>LegacySupported LivingReal Life OptionsSleep-in</v>
      </c>
      <c r="H33" s="141">
        <v>124.43</v>
      </c>
      <c r="I33" s="141">
        <v>871.01</v>
      </c>
      <c r="J33" s="140" t="s">
        <v>169</v>
      </c>
      <c r="K33" s="220" t="s">
        <v>250</v>
      </c>
    </row>
    <row r="34" spans="1:11" ht="15" hidden="1" thickBot="1" x14ac:dyDescent="0.4">
      <c r="A34" s="8" t="s">
        <v>155</v>
      </c>
      <c r="B34" s="8" t="s">
        <v>7</v>
      </c>
      <c r="C34" s="8" t="s">
        <v>16</v>
      </c>
      <c r="D34" s="8" t="str">
        <f t="shared" si="0"/>
        <v>LegacySupported LivingThera</v>
      </c>
      <c r="E34" s="30">
        <v>23.3</v>
      </c>
      <c r="F34" s="138">
        <v>24</v>
      </c>
      <c r="G34" s="8" t="str">
        <f t="shared" si="1"/>
        <v>LegacySupported LivingTheraSleep-in</v>
      </c>
      <c r="H34" s="141">
        <v>124.43</v>
      </c>
      <c r="I34" s="141">
        <v>871.01</v>
      </c>
      <c r="J34" s="140" t="s">
        <v>169</v>
      </c>
      <c r="K34" s="220" t="s">
        <v>250</v>
      </c>
    </row>
    <row r="35" spans="1:11" ht="15" hidden="1" thickBot="1" x14ac:dyDescent="0.4">
      <c r="A35" s="8" t="s">
        <v>155</v>
      </c>
      <c r="B35" s="8" t="s">
        <v>7</v>
      </c>
      <c r="C35" s="8" t="s">
        <v>17</v>
      </c>
      <c r="D35" s="8" t="str">
        <f t="shared" si="0"/>
        <v>LegacySupported LivingUnited Response</v>
      </c>
      <c r="E35" s="9">
        <v>23.3</v>
      </c>
      <c r="F35" s="141">
        <v>24</v>
      </c>
      <c r="G35" s="8" t="str">
        <f t="shared" si="1"/>
        <v>LegacySupported LivingUnited ResponseSleep-in</v>
      </c>
      <c r="H35" s="141">
        <v>124.43</v>
      </c>
      <c r="I35" s="141">
        <v>871.01</v>
      </c>
      <c r="J35" s="140" t="s">
        <v>169</v>
      </c>
      <c r="K35" s="220" t="s">
        <v>250</v>
      </c>
    </row>
    <row r="36" spans="1:11" ht="15" hidden="1" thickBot="1" x14ac:dyDescent="0.4">
      <c r="A36" s="148" t="s">
        <v>155</v>
      </c>
      <c r="B36" s="148" t="s">
        <v>7</v>
      </c>
      <c r="C36" s="148" t="s">
        <v>18</v>
      </c>
      <c r="D36" s="148" t="str">
        <f t="shared" si="0"/>
        <v>LegacySupported LivingVoyage</v>
      </c>
      <c r="E36" s="149">
        <v>23.3</v>
      </c>
      <c r="F36" s="157">
        <v>24</v>
      </c>
      <c r="G36" s="148" t="str">
        <f t="shared" si="1"/>
        <v>LegacySupported LivingVoyageSleep-in</v>
      </c>
      <c r="H36" s="157">
        <v>124.43</v>
      </c>
      <c r="I36" s="157">
        <v>871.01</v>
      </c>
      <c r="J36" s="140" t="s">
        <v>169</v>
      </c>
      <c r="K36" s="221" t="s">
        <v>250</v>
      </c>
    </row>
    <row r="37" spans="1:11" ht="14.5" x14ac:dyDescent="0.35">
      <c r="A37" s="255" t="s">
        <v>155</v>
      </c>
      <c r="B37" s="150" t="s">
        <v>19</v>
      </c>
      <c r="C37" s="150" t="s">
        <v>11</v>
      </c>
      <c r="D37" s="150" t="str">
        <f t="shared" si="0"/>
        <v>LegacySupported Living PlusCIC</v>
      </c>
      <c r="E37" s="151">
        <v>25.59</v>
      </c>
      <c r="F37" s="174">
        <v>26.36</v>
      </c>
      <c r="G37" s="150" t="str">
        <f t="shared" si="1"/>
        <v>LegacySupported Living PlusCICSleep-in</v>
      </c>
      <c r="H37" s="174">
        <v>124.43</v>
      </c>
      <c r="I37" s="174">
        <v>871.01</v>
      </c>
      <c r="J37" s="256" t="s">
        <v>170</v>
      </c>
      <c r="K37" s="222" t="s">
        <v>250</v>
      </c>
    </row>
    <row r="38" spans="1:11" ht="14.5" hidden="1" x14ac:dyDescent="0.35">
      <c r="A38" s="10" t="s">
        <v>155</v>
      </c>
      <c r="B38" s="10" t="s">
        <v>19</v>
      </c>
      <c r="C38" s="10" t="s">
        <v>166</v>
      </c>
      <c r="D38" s="10" t="str">
        <f t="shared" si="0"/>
        <v>LegacySupported Living PlusEden Supported Living Ltd</v>
      </c>
      <c r="E38" s="11">
        <v>25.59</v>
      </c>
      <c r="F38" s="141">
        <v>26.36</v>
      </c>
      <c r="G38" s="10" t="str">
        <f t="shared" si="1"/>
        <v>LegacySupported Living PlusEden Supported Living LtdSleep-in</v>
      </c>
      <c r="H38" s="141">
        <v>124.43</v>
      </c>
      <c r="I38" s="141">
        <v>871.01</v>
      </c>
      <c r="J38" s="253" t="s">
        <v>170</v>
      </c>
      <c r="K38" s="223" t="s">
        <v>250</v>
      </c>
    </row>
    <row r="39" spans="1:11" ht="14.5" hidden="1" x14ac:dyDescent="0.35">
      <c r="A39" s="10" t="s">
        <v>155</v>
      </c>
      <c r="B39" s="10" t="s">
        <v>19</v>
      </c>
      <c r="C39" s="10" t="s">
        <v>12</v>
      </c>
      <c r="D39" s="10" t="str">
        <f t="shared" si="0"/>
        <v>LegacySupported Living PlusFitzroy</v>
      </c>
      <c r="E39" s="32">
        <v>25.59</v>
      </c>
      <c r="F39" s="138">
        <v>26.36</v>
      </c>
      <c r="G39" s="10" t="str">
        <f t="shared" si="1"/>
        <v>LegacySupported Living PlusFitzroySleep-in</v>
      </c>
      <c r="H39" s="141">
        <v>124.43</v>
      </c>
      <c r="I39" s="141">
        <v>871.01</v>
      </c>
      <c r="J39" s="253" t="s">
        <v>170</v>
      </c>
      <c r="K39" s="223" t="s">
        <v>250</v>
      </c>
    </row>
    <row r="40" spans="1:11" ht="14.5" hidden="1" x14ac:dyDescent="0.35">
      <c r="A40" s="10" t="s">
        <v>155</v>
      </c>
      <c r="B40" s="10" t="s">
        <v>19</v>
      </c>
      <c r="C40" s="10" t="s">
        <v>13</v>
      </c>
      <c r="D40" s="10" t="str">
        <f t="shared" si="0"/>
        <v>LegacySupported Living PlusFuture Homecare</v>
      </c>
      <c r="E40" s="11">
        <v>25.59</v>
      </c>
      <c r="F40" s="141">
        <v>26.36</v>
      </c>
      <c r="G40" s="10" t="str">
        <f t="shared" si="1"/>
        <v>LegacySupported Living PlusFuture HomecareSleep-in</v>
      </c>
      <c r="H40" s="141">
        <v>124.43</v>
      </c>
      <c r="I40" s="141">
        <v>871.01</v>
      </c>
      <c r="J40" s="253" t="s">
        <v>170</v>
      </c>
      <c r="K40" s="223" t="s">
        <v>250</v>
      </c>
    </row>
    <row r="41" spans="1:11" ht="14.5" hidden="1" x14ac:dyDescent="0.35">
      <c r="A41" s="10" t="s">
        <v>155</v>
      </c>
      <c r="B41" s="10" t="s">
        <v>19</v>
      </c>
      <c r="C41" s="10" t="s">
        <v>15</v>
      </c>
      <c r="D41" s="10" t="str">
        <f t="shared" si="0"/>
        <v>LegacySupported Living PlusNCHA</v>
      </c>
      <c r="E41" s="11">
        <v>24.44</v>
      </c>
      <c r="F41" s="141">
        <v>25.17</v>
      </c>
      <c r="G41" s="10" t="str">
        <f t="shared" si="1"/>
        <v>LegacySupported Living PlusNCHASleep-in</v>
      </c>
      <c r="H41" s="141">
        <v>124.43</v>
      </c>
      <c r="I41" s="141">
        <v>871.01</v>
      </c>
      <c r="J41" s="253" t="s">
        <v>171</v>
      </c>
      <c r="K41" s="223" t="s">
        <v>250</v>
      </c>
    </row>
    <row r="42" spans="1:11" ht="14.5" hidden="1" x14ac:dyDescent="0.35">
      <c r="A42" s="10" t="s">
        <v>155</v>
      </c>
      <c r="B42" s="10" t="s">
        <v>19</v>
      </c>
      <c r="C42" s="10" t="s">
        <v>58</v>
      </c>
      <c r="D42" s="10" t="str">
        <f t="shared" si="0"/>
        <v>LegacySupported Living PlusPerthyn - no TUPE</v>
      </c>
      <c r="E42" s="11">
        <v>24.3</v>
      </c>
      <c r="F42" s="141">
        <v>25.03</v>
      </c>
      <c r="G42" s="10" t="str">
        <f t="shared" si="1"/>
        <v>LegacySupported Living PlusPerthyn - no TUPESleep-in</v>
      </c>
      <c r="H42" s="141">
        <v>124.43</v>
      </c>
      <c r="I42" s="141">
        <v>871.01</v>
      </c>
      <c r="J42" s="253" t="s">
        <v>172</v>
      </c>
      <c r="K42" s="223" t="s">
        <v>250</v>
      </c>
    </row>
    <row r="43" spans="1:11" ht="14.5" hidden="1" x14ac:dyDescent="0.35">
      <c r="A43" s="10" t="s">
        <v>155</v>
      </c>
      <c r="B43" s="10" t="s">
        <v>19</v>
      </c>
      <c r="C43" s="10" t="s">
        <v>32</v>
      </c>
      <c r="D43" s="10" t="str">
        <f t="shared" si="0"/>
        <v>LegacySupported Living PlusPerthyn - with TUPE</v>
      </c>
      <c r="E43" s="11">
        <v>22.21</v>
      </c>
      <c r="F43" s="141">
        <v>22.88</v>
      </c>
      <c r="G43" s="10" t="str">
        <f t="shared" si="1"/>
        <v>LegacySupported Living PlusPerthyn - with TUPESleep-in</v>
      </c>
      <c r="H43" s="141">
        <v>124.43</v>
      </c>
      <c r="I43" s="141">
        <v>871.01</v>
      </c>
      <c r="J43" s="253" t="s">
        <v>173</v>
      </c>
      <c r="K43" s="223" t="s">
        <v>250</v>
      </c>
    </row>
    <row r="44" spans="1:11" ht="15" hidden="1" thickBot="1" x14ac:dyDescent="0.4">
      <c r="A44" s="152" t="s">
        <v>155</v>
      </c>
      <c r="B44" s="152" t="s">
        <v>19</v>
      </c>
      <c r="C44" s="152" t="s">
        <v>17</v>
      </c>
      <c r="D44" s="152" t="str">
        <f t="shared" si="0"/>
        <v>LegacySupported Living PlusUnited Response</v>
      </c>
      <c r="E44" s="153">
        <v>25.11</v>
      </c>
      <c r="F44" s="157">
        <v>25.86</v>
      </c>
      <c r="G44" s="152" t="str">
        <f t="shared" si="1"/>
        <v>LegacySupported Living PlusUnited ResponseSleep-in</v>
      </c>
      <c r="H44" s="157">
        <v>124.43</v>
      </c>
      <c r="I44" s="157">
        <v>871.01</v>
      </c>
      <c r="J44" s="257" t="s">
        <v>170</v>
      </c>
      <c r="K44" s="224" t="s">
        <v>250</v>
      </c>
    </row>
    <row r="45" spans="1:11" ht="14.5" hidden="1" x14ac:dyDescent="0.35">
      <c r="A45" s="258" t="s">
        <v>156</v>
      </c>
      <c r="B45" s="154" t="s">
        <v>8</v>
      </c>
      <c r="C45" s="154" t="s">
        <v>163</v>
      </c>
      <c r="D45" s="154" t="str">
        <f t="shared" si="0"/>
        <v>CurrentOutreachAspirations Care Ltd</v>
      </c>
      <c r="E45" s="155">
        <v>23.3</v>
      </c>
      <c r="F45" s="174">
        <v>24</v>
      </c>
      <c r="G45" s="154" t="str">
        <f t="shared" si="1"/>
        <v>CurrentOutreachAspirations Care LtdSleep-in</v>
      </c>
      <c r="H45" s="136">
        <v>0</v>
      </c>
      <c r="I45" s="136">
        <v>0</v>
      </c>
      <c r="J45" s="1" t="s">
        <v>174</v>
      </c>
      <c r="K45" s="196" t="s">
        <v>251</v>
      </c>
    </row>
    <row r="46" spans="1:11" ht="14.5" hidden="1" x14ac:dyDescent="0.35">
      <c r="A46" s="197" t="s">
        <v>156</v>
      </c>
      <c r="B46" s="12" t="s">
        <v>8</v>
      </c>
      <c r="C46" s="12" t="s">
        <v>9</v>
      </c>
      <c r="D46" s="12" t="str">
        <f t="shared" si="0"/>
        <v>CurrentOutreachBlue Sky</v>
      </c>
      <c r="E46" s="13">
        <v>23.8</v>
      </c>
      <c r="F46" s="141">
        <v>24</v>
      </c>
      <c r="G46" s="12" t="str">
        <f t="shared" si="1"/>
        <v>CurrentOutreachBlue SkySleep-in</v>
      </c>
      <c r="H46" s="139">
        <v>0</v>
      </c>
      <c r="I46" s="139">
        <v>0</v>
      </c>
      <c r="J46" s="259" t="s">
        <v>175</v>
      </c>
      <c r="K46" s="197" t="s">
        <v>251</v>
      </c>
    </row>
    <row r="47" spans="1:11" ht="14.5" hidden="1" x14ac:dyDescent="0.35">
      <c r="A47" s="197" t="s">
        <v>156</v>
      </c>
      <c r="B47" s="12" t="s">
        <v>8</v>
      </c>
      <c r="C47" s="12" t="s">
        <v>62</v>
      </c>
      <c r="D47" s="12" t="str">
        <f t="shared" si="0"/>
        <v>CurrentOutreachCCT Community Enablement Team</v>
      </c>
      <c r="E47" s="13">
        <v>23.3</v>
      </c>
      <c r="F47" s="141">
        <v>24</v>
      </c>
      <c r="G47" s="12" t="str">
        <f t="shared" si="1"/>
        <v>CurrentOutreachCCT Community Enablement TeamSleep-in</v>
      </c>
      <c r="H47" s="139">
        <v>0</v>
      </c>
      <c r="I47" s="139">
        <v>0</v>
      </c>
      <c r="J47" s="1" t="s">
        <v>174</v>
      </c>
      <c r="K47" s="197" t="s">
        <v>251</v>
      </c>
    </row>
    <row r="48" spans="1:11" ht="14.5" hidden="1" x14ac:dyDescent="0.35">
      <c r="A48" s="197" t="s">
        <v>156</v>
      </c>
      <c r="B48" s="12" t="s">
        <v>8</v>
      </c>
      <c r="C48" s="12" t="s">
        <v>10</v>
      </c>
      <c r="D48" s="12" t="str">
        <f t="shared" si="0"/>
        <v>CurrentOutreachChoice Support</v>
      </c>
      <c r="E48" s="13">
        <v>23.3</v>
      </c>
      <c r="F48" s="141">
        <v>24</v>
      </c>
      <c r="G48" s="12" t="str">
        <f t="shared" si="1"/>
        <v>CurrentOutreachChoice SupportSleep-in</v>
      </c>
      <c r="H48" s="139">
        <v>0</v>
      </c>
      <c r="I48" s="139">
        <v>0</v>
      </c>
      <c r="J48" s="1" t="s">
        <v>174</v>
      </c>
      <c r="K48" s="197" t="s">
        <v>251</v>
      </c>
    </row>
    <row r="49" spans="1:11" ht="14.5" x14ac:dyDescent="0.35">
      <c r="A49" s="197" t="s">
        <v>156</v>
      </c>
      <c r="B49" s="12" t="s">
        <v>8</v>
      </c>
      <c r="C49" s="12" t="s">
        <v>11</v>
      </c>
      <c r="D49" s="12" t="str">
        <f t="shared" si="0"/>
        <v>CurrentOutreachCIC</v>
      </c>
      <c r="E49" s="13">
        <v>23.8</v>
      </c>
      <c r="F49" s="141">
        <v>24</v>
      </c>
      <c r="G49" s="12" t="str">
        <f t="shared" si="1"/>
        <v>CurrentOutreachCICSleep-in</v>
      </c>
      <c r="H49" s="139">
        <v>0</v>
      </c>
      <c r="I49" s="139">
        <v>0</v>
      </c>
      <c r="J49" s="259" t="s">
        <v>175</v>
      </c>
      <c r="K49" s="197" t="s">
        <v>251</v>
      </c>
    </row>
    <row r="50" spans="1:11" ht="14.5" hidden="1" x14ac:dyDescent="0.35">
      <c r="A50" s="197" t="s">
        <v>156</v>
      </c>
      <c r="B50" s="12" t="s">
        <v>8</v>
      </c>
      <c r="C50" s="12" t="s">
        <v>166</v>
      </c>
      <c r="D50" s="12" t="str">
        <f t="shared" si="0"/>
        <v>CurrentOutreachEden Supported Living Ltd</v>
      </c>
      <c r="E50" s="13">
        <v>23.8</v>
      </c>
      <c r="F50" s="141">
        <v>24</v>
      </c>
      <c r="G50" s="12" t="str">
        <f t="shared" si="1"/>
        <v>CurrentOutreachEden Supported Living LtdSleep-in</v>
      </c>
      <c r="H50" s="139">
        <v>0</v>
      </c>
      <c r="I50" s="139">
        <v>0</v>
      </c>
      <c r="J50" s="259" t="s">
        <v>175</v>
      </c>
      <c r="K50" s="197" t="s">
        <v>251</v>
      </c>
    </row>
    <row r="51" spans="1:11" ht="14.5" hidden="1" x14ac:dyDescent="0.35">
      <c r="A51" s="12" t="s">
        <v>156</v>
      </c>
      <c r="B51" s="12" t="s">
        <v>8</v>
      </c>
      <c r="C51" s="12" t="s">
        <v>118</v>
      </c>
      <c r="D51" s="12" t="str">
        <f t="shared" si="0"/>
        <v>CurrentOutreachEMH Care &amp; Support Ltd</v>
      </c>
      <c r="E51" s="13">
        <v>23.8</v>
      </c>
      <c r="F51" s="141">
        <v>24</v>
      </c>
      <c r="G51" s="12" t="str">
        <f t="shared" si="1"/>
        <v>CurrentOutreachEMH Care &amp; Support LtdSleep-in</v>
      </c>
      <c r="H51" s="139">
        <v>0</v>
      </c>
      <c r="I51" s="139">
        <v>0</v>
      </c>
      <c r="J51" s="259" t="s">
        <v>175</v>
      </c>
      <c r="K51" s="12" t="s">
        <v>251</v>
      </c>
    </row>
    <row r="52" spans="1:11" ht="14.5" hidden="1" x14ac:dyDescent="0.35">
      <c r="A52" s="197" t="s">
        <v>156</v>
      </c>
      <c r="B52" s="12" t="s">
        <v>8</v>
      </c>
      <c r="C52" s="12" t="s">
        <v>12</v>
      </c>
      <c r="D52" s="12" t="str">
        <f t="shared" si="0"/>
        <v>CurrentOutreachFitzroy</v>
      </c>
      <c r="E52" s="156">
        <v>23.8</v>
      </c>
      <c r="F52" s="138">
        <v>24</v>
      </c>
      <c r="G52" s="12" t="str">
        <f t="shared" si="1"/>
        <v>CurrentOutreachFitzroySleep-in</v>
      </c>
      <c r="H52" s="139">
        <v>0</v>
      </c>
      <c r="I52" s="139">
        <v>0</v>
      </c>
      <c r="J52" s="259" t="s">
        <v>175</v>
      </c>
      <c r="K52" s="197" t="s">
        <v>251</v>
      </c>
    </row>
    <row r="53" spans="1:11" ht="14.5" hidden="1" x14ac:dyDescent="0.35">
      <c r="A53" s="197" t="s">
        <v>156</v>
      </c>
      <c r="B53" s="12" t="s">
        <v>8</v>
      </c>
      <c r="C53" s="12" t="s">
        <v>63</v>
      </c>
      <c r="D53" s="12" t="str">
        <f t="shared" si="0"/>
        <v>CurrentOutreachFosse Healthcare (CSE)</v>
      </c>
      <c r="E53" s="13">
        <v>23.3</v>
      </c>
      <c r="F53" s="141">
        <v>24</v>
      </c>
      <c r="G53" s="12" t="str">
        <f t="shared" si="1"/>
        <v>CurrentOutreachFosse Healthcare (CSE)Sleep-in</v>
      </c>
      <c r="H53" s="139">
        <v>0</v>
      </c>
      <c r="I53" s="139">
        <v>0</v>
      </c>
      <c r="J53" s="1" t="s">
        <v>174</v>
      </c>
      <c r="K53" s="197" t="s">
        <v>251</v>
      </c>
    </row>
    <row r="54" spans="1:11" ht="14.5" hidden="1" x14ac:dyDescent="0.35">
      <c r="A54" s="197" t="s">
        <v>156</v>
      </c>
      <c r="B54" s="12" t="s">
        <v>8</v>
      </c>
      <c r="C54" s="12" t="s">
        <v>280</v>
      </c>
      <c r="D54" s="12" t="str">
        <f t="shared" si="0"/>
        <v>CurrentOutreachFuture Home Care</v>
      </c>
      <c r="E54" s="13">
        <v>23.8</v>
      </c>
      <c r="F54" s="141">
        <v>24</v>
      </c>
      <c r="G54" s="12" t="str">
        <f t="shared" si="1"/>
        <v>CurrentOutreachFuture Home CareSleep-in</v>
      </c>
      <c r="H54" s="139">
        <v>0</v>
      </c>
      <c r="I54" s="139">
        <v>0</v>
      </c>
      <c r="J54" s="259" t="s">
        <v>175</v>
      </c>
      <c r="K54" s="197" t="s">
        <v>251</v>
      </c>
    </row>
    <row r="55" spans="1:11" ht="14.5" hidden="1" x14ac:dyDescent="0.35">
      <c r="A55" s="197" t="s">
        <v>156</v>
      </c>
      <c r="B55" s="12" t="s">
        <v>8</v>
      </c>
      <c r="C55" s="12" t="s">
        <v>60</v>
      </c>
      <c r="D55" s="12" t="str">
        <f t="shared" si="0"/>
        <v>CurrentOutreachJRH Support (Nottingham)</v>
      </c>
      <c r="E55" s="13">
        <v>23.3</v>
      </c>
      <c r="F55" s="141">
        <v>24</v>
      </c>
      <c r="G55" s="12" t="str">
        <f t="shared" si="1"/>
        <v>CurrentOutreachJRH Support (Nottingham)Sleep-in</v>
      </c>
      <c r="H55" s="139">
        <v>0</v>
      </c>
      <c r="I55" s="139">
        <v>0</v>
      </c>
      <c r="J55" s="1" t="s">
        <v>174</v>
      </c>
      <c r="K55" s="197" t="s">
        <v>251</v>
      </c>
    </row>
    <row r="56" spans="1:11" ht="14.5" hidden="1" x14ac:dyDescent="0.35">
      <c r="A56" s="197" t="s">
        <v>156</v>
      </c>
      <c r="B56" s="12" t="s">
        <v>8</v>
      </c>
      <c r="C56" s="12" t="s">
        <v>14</v>
      </c>
      <c r="D56" s="12" t="str">
        <f t="shared" si="0"/>
        <v>CurrentOutreachLifeways</v>
      </c>
      <c r="E56" s="13">
        <v>23.8</v>
      </c>
      <c r="F56" s="141">
        <v>24</v>
      </c>
      <c r="G56" s="12" t="str">
        <f t="shared" si="1"/>
        <v>CurrentOutreachLifewaysSleep-in</v>
      </c>
      <c r="H56" s="139">
        <v>0</v>
      </c>
      <c r="I56" s="139">
        <v>0</v>
      </c>
      <c r="J56" s="259" t="s">
        <v>175</v>
      </c>
      <c r="K56" s="197" t="s">
        <v>251</v>
      </c>
    </row>
    <row r="57" spans="1:11" ht="14.5" hidden="1" x14ac:dyDescent="0.35">
      <c r="A57" s="197" t="s">
        <v>156</v>
      </c>
      <c r="B57" s="12" t="s">
        <v>8</v>
      </c>
      <c r="C57" s="12" t="s">
        <v>54</v>
      </c>
      <c r="D57" s="12" t="str">
        <f t="shared" si="0"/>
        <v>CurrentOutreachMencap (Rushcliffe) - Royal Mencap Society</v>
      </c>
      <c r="E57" s="156">
        <v>23.8</v>
      </c>
      <c r="F57" s="138">
        <v>24</v>
      </c>
      <c r="G57" s="12" t="str">
        <f t="shared" si="1"/>
        <v>CurrentOutreachMencap (Rushcliffe) - Royal Mencap SocietySleep-in</v>
      </c>
      <c r="H57" s="139">
        <v>0</v>
      </c>
      <c r="I57" s="139">
        <v>0</v>
      </c>
      <c r="J57" s="259" t="s">
        <v>175</v>
      </c>
      <c r="K57" s="197" t="s">
        <v>251</v>
      </c>
    </row>
    <row r="58" spans="1:11" ht="14.5" hidden="1" x14ac:dyDescent="0.35">
      <c r="A58" s="197" t="s">
        <v>156</v>
      </c>
      <c r="B58" s="12" t="s">
        <v>8</v>
      </c>
      <c r="C58" s="12" t="s">
        <v>55</v>
      </c>
      <c r="D58" s="12" t="str">
        <f t="shared" si="0"/>
        <v>CurrentOutreachMencap (Worksop) - Royal Mencap Society</v>
      </c>
      <c r="E58" s="156">
        <v>23.8</v>
      </c>
      <c r="F58" s="138">
        <v>24</v>
      </c>
      <c r="G58" s="12" t="str">
        <f t="shared" si="1"/>
        <v>CurrentOutreachMencap (Worksop) - Royal Mencap SocietySleep-in</v>
      </c>
      <c r="H58" s="139">
        <v>0</v>
      </c>
      <c r="I58" s="139">
        <v>0</v>
      </c>
      <c r="J58" s="259" t="s">
        <v>175</v>
      </c>
      <c r="K58" s="197" t="s">
        <v>251</v>
      </c>
    </row>
    <row r="59" spans="1:11" ht="14.5" hidden="1" x14ac:dyDescent="0.35">
      <c r="A59" s="197" t="s">
        <v>156</v>
      </c>
      <c r="B59" s="12" t="s">
        <v>8</v>
      </c>
      <c r="C59" s="12" t="s">
        <v>56</v>
      </c>
      <c r="D59" s="12" t="str">
        <f t="shared" si="0"/>
        <v>CurrentOutreachMencap Nottm- Gener8</v>
      </c>
      <c r="E59" s="156">
        <v>23.8</v>
      </c>
      <c r="F59" s="138">
        <v>24</v>
      </c>
      <c r="G59" s="12" t="str">
        <f t="shared" si="1"/>
        <v>CurrentOutreachMencap Nottm- Gener8Sleep-in</v>
      </c>
      <c r="H59" s="139">
        <v>0</v>
      </c>
      <c r="I59" s="139">
        <v>0</v>
      </c>
      <c r="J59" s="259" t="s">
        <v>175</v>
      </c>
      <c r="K59" s="197" t="s">
        <v>251</v>
      </c>
    </row>
    <row r="60" spans="1:11" ht="14.5" hidden="1" x14ac:dyDescent="0.35">
      <c r="A60" s="197" t="s">
        <v>156</v>
      </c>
      <c r="B60" s="12" t="s">
        <v>8</v>
      </c>
      <c r="C60" s="12" t="s">
        <v>15</v>
      </c>
      <c r="D60" s="12" t="str">
        <f t="shared" si="0"/>
        <v>CurrentOutreachNCHA</v>
      </c>
      <c r="E60" s="13">
        <v>23.3</v>
      </c>
      <c r="F60" s="141">
        <v>24</v>
      </c>
      <c r="G60" s="12" t="str">
        <f t="shared" si="1"/>
        <v>CurrentOutreachNCHASleep-in</v>
      </c>
      <c r="H60" s="139">
        <v>0</v>
      </c>
      <c r="I60" s="139">
        <v>0</v>
      </c>
      <c r="J60" s="1" t="s">
        <v>174</v>
      </c>
      <c r="K60" s="197" t="s">
        <v>251</v>
      </c>
    </row>
    <row r="61" spans="1:11" ht="14.5" hidden="1" x14ac:dyDescent="0.35">
      <c r="A61" s="197" t="s">
        <v>156</v>
      </c>
      <c r="B61" s="12" t="s">
        <v>8</v>
      </c>
      <c r="C61" s="12" t="s">
        <v>77</v>
      </c>
      <c r="D61" s="12" t="str">
        <f t="shared" si="0"/>
        <v>CurrentOutreachReach Learning Disability Care (CiC)</v>
      </c>
      <c r="E61" s="13">
        <v>23.8</v>
      </c>
      <c r="F61" s="141">
        <v>24</v>
      </c>
      <c r="G61" s="12" t="str">
        <f t="shared" si="1"/>
        <v>CurrentOutreachReach Learning Disability Care (CiC)Sleep-in</v>
      </c>
      <c r="H61" s="139">
        <v>0</v>
      </c>
      <c r="I61" s="139">
        <v>0</v>
      </c>
      <c r="J61" s="259" t="s">
        <v>175</v>
      </c>
      <c r="K61" s="197" t="s">
        <v>251</v>
      </c>
    </row>
    <row r="62" spans="1:11" ht="14.5" hidden="1" x14ac:dyDescent="0.35">
      <c r="A62" s="197" t="s">
        <v>156</v>
      </c>
      <c r="B62" s="12" t="s">
        <v>8</v>
      </c>
      <c r="C62" s="12" t="s">
        <v>168</v>
      </c>
      <c r="D62" s="12" t="str">
        <f t="shared" si="0"/>
        <v>CurrentOutreachReal Life Options</v>
      </c>
      <c r="E62" s="13">
        <v>23.8</v>
      </c>
      <c r="F62" s="141">
        <v>24</v>
      </c>
      <c r="G62" s="12" t="str">
        <f t="shared" si="1"/>
        <v>CurrentOutreachReal Life OptionsSleep-in</v>
      </c>
      <c r="H62" s="139">
        <v>0</v>
      </c>
      <c r="I62" s="139">
        <v>0</v>
      </c>
      <c r="J62" s="259" t="s">
        <v>175</v>
      </c>
      <c r="K62" s="197" t="s">
        <v>251</v>
      </c>
    </row>
    <row r="63" spans="1:11" ht="14.5" hidden="1" x14ac:dyDescent="0.35">
      <c r="A63" s="12" t="s">
        <v>156</v>
      </c>
      <c r="B63" s="12" t="s">
        <v>8</v>
      </c>
      <c r="C63" s="12" t="s">
        <v>329</v>
      </c>
      <c r="D63" s="12" t="str">
        <f t="shared" si="0"/>
        <v xml:space="preserve">CurrentOutreachRoselea Care Homes (CSE) </v>
      </c>
      <c r="E63" s="13">
        <v>23.8</v>
      </c>
      <c r="F63" s="141">
        <v>24</v>
      </c>
      <c r="G63" s="12" t="str">
        <f t="shared" si="1"/>
        <v>CurrentOutreachRoselea Care Homes (CSE) Sleep-in</v>
      </c>
      <c r="H63" s="139">
        <v>0</v>
      </c>
      <c r="I63" s="139">
        <v>0</v>
      </c>
      <c r="J63" s="259" t="s">
        <v>175</v>
      </c>
      <c r="K63" s="12" t="s">
        <v>251</v>
      </c>
    </row>
    <row r="64" spans="1:11" ht="14.5" hidden="1" x14ac:dyDescent="0.35">
      <c r="A64" s="12" t="s">
        <v>156</v>
      </c>
      <c r="B64" s="12" t="s">
        <v>8</v>
      </c>
      <c r="C64" s="12" t="s">
        <v>64</v>
      </c>
      <c r="D64" s="12" t="str">
        <f t="shared" si="0"/>
        <v>CurrentOutreachSanctuary - Corner House Supported Living</v>
      </c>
      <c r="E64" s="13">
        <v>23.3</v>
      </c>
      <c r="F64" s="141">
        <v>24</v>
      </c>
      <c r="G64" s="12" t="str">
        <f t="shared" si="1"/>
        <v>CurrentOutreachSanctuary - Corner House Supported LivingSleep-in</v>
      </c>
      <c r="H64" s="139">
        <v>0</v>
      </c>
      <c r="I64" s="139">
        <v>0</v>
      </c>
      <c r="J64" s="1" t="s">
        <v>174</v>
      </c>
      <c r="K64" s="12" t="s">
        <v>251</v>
      </c>
    </row>
    <row r="65" spans="1:11" ht="14.5" hidden="1" x14ac:dyDescent="0.35">
      <c r="A65" s="12" t="s">
        <v>156</v>
      </c>
      <c r="B65" s="12" t="s">
        <v>8</v>
      </c>
      <c r="C65" s="12" t="s">
        <v>119</v>
      </c>
      <c r="D65" s="12" t="str">
        <f t="shared" si="0"/>
        <v>CurrentOutreachSpace Inclusive</v>
      </c>
      <c r="E65" s="13">
        <v>23.8</v>
      </c>
      <c r="F65" s="141">
        <v>24</v>
      </c>
      <c r="G65" s="12" t="str">
        <f t="shared" si="1"/>
        <v>CurrentOutreachSpace InclusiveSleep-in</v>
      </c>
      <c r="H65" s="139">
        <v>0</v>
      </c>
      <c r="I65" s="139">
        <v>0</v>
      </c>
      <c r="J65" s="259" t="s">
        <v>175</v>
      </c>
      <c r="K65" s="12" t="s">
        <v>251</v>
      </c>
    </row>
    <row r="66" spans="1:11" ht="14.5" hidden="1" x14ac:dyDescent="0.35">
      <c r="A66" s="12" t="s">
        <v>156</v>
      </c>
      <c r="B66" s="12" t="s">
        <v>8</v>
      </c>
      <c r="C66" s="12" t="s">
        <v>30</v>
      </c>
      <c r="D66" s="12" t="str">
        <f t="shared" si="0"/>
        <v>CurrentOutreachSun Healthcare</v>
      </c>
      <c r="E66" s="13">
        <v>23.3</v>
      </c>
      <c r="F66" s="141">
        <v>24</v>
      </c>
      <c r="G66" s="12" t="str">
        <f t="shared" si="1"/>
        <v>CurrentOutreachSun HealthcareSleep-in</v>
      </c>
      <c r="H66" s="139">
        <v>0</v>
      </c>
      <c r="I66" s="139">
        <v>0</v>
      </c>
      <c r="J66" s="1" t="s">
        <v>174</v>
      </c>
      <c r="K66" s="12" t="s">
        <v>251</v>
      </c>
    </row>
    <row r="67" spans="1:11" ht="14.5" hidden="1" x14ac:dyDescent="0.35">
      <c r="A67" s="12" t="s">
        <v>156</v>
      </c>
      <c r="B67" s="12" t="s">
        <v>8</v>
      </c>
      <c r="C67" s="12" t="s">
        <v>16</v>
      </c>
      <c r="D67" s="12" t="str">
        <f t="shared" ref="D67:D130" si="2">A67&amp;B67&amp;C67</f>
        <v>CurrentOutreachThera</v>
      </c>
      <c r="E67" s="13">
        <v>23.8</v>
      </c>
      <c r="F67" s="138">
        <v>24</v>
      </c>
      <c r="G67" s="12" t="str">
        <f t="shared" ref="G67:G130" si="3">A67&amp;B67&amp;C67&amp;"Sleep-in"</f>
        <v>CurrentOutreachTheraSleep-in</v>
      </c>
      <c r="H67" s="139">
        <v>0</v>
      </c>
      <c r="I67" s="139">
        <v>0</v>
      </c>
      <c r="J67" s="259" t="s">
        <v>175</v>
      </c>
      <c r="K67" s="12" t="s">
        <v>251</v>
      </c>
    </row>
    <row r="68" spans="1:11" ht="14.5" hidden="1" x14ac:dyDescent="0.35">
      <c r="A68" s="12" t="s">
        <v>156</v>
      </c>
      <c r="B68" s="12" t="s">
        <v>8</v>
      </c>
      <c r="C68" s="12" t="s">
        <v>17</v>
      </c>
      <c r="D68" s="12" t="str">
        <f t="shared" si="2"/>
        <v>CurrentOutreachUnited Response</v>
      </c>
      <c r="E68" s="13">
        <v>23.8</v>
      </c>
      <c r="F68" s="141">
        <v>24</v>
      </c>
      <c r="G68" s="12" t="str">
        <f t="shared" si="3"/>
        <v>CurrentOutreachUnited ResponseSleep-in</v>
      </c>
      <c r="H68" s="139">
        <v>0</v>
      </c>
      <c r="I68" s="139">
        <v>0</v>
      </c>
      <c r="J68" s="259" t="s">
        <v>175</v>
      </c>
      <c r="K68" s="12" t="s">
        <v>251</v>
      </c>
    </row>
    <row r="69" spans="1:11" ht="15" hidden="1" thickBot="1" x14ac:dyDescent="0.4">
      <c r="A69" s="12" t="s">
        <v>156</v>
      </c>
      <c r="B69" s="12" t="s">
        <v>8</v>
      </c>
      <c r="C69" s="12" t="s">
        <v>120</v>
      </c>
      <c r="D69" s="12" t="str">
        <f t="shared" si="2"/>
        <v>CurrentOutreachWellgate Support Ltd</v>
      </c>
      <c r="E69" s="13">
        <v>23.8</v>
      </c>
      <c r="F69" s="157">
        <v>24</v>
      </c>
      <c r="G69" s="12" t="str">
        <f t="shared" si="3"/>
        <v>CurrentOutreachWellgate Support LtdSleep-in</v>
      </c>
      <c r="H69" s="144">
        <v>0</v>
      </c>
      <c r="I69" s="144">
        <v>0</v>
      </c>
      <c r="J69" s="260" t="s">
        <v>175</v>
      </c>
      <c r="K69" s="12" t="s">
        <v>251</v>
      </c>
    </row>
    <row r="70" spans="1:11" ht="14.5" hidden="1" x14ac:dyDescent="0.35">
      <c r="A70" s="198" t="s">
        <v>156</v>
      </c>
      <c r="B70" s="199" t="s">
        <v>7</v>
      </c>
      <c r="C70" s="199" t="s">
        <v>163</v>
      </c>
      <c r="D70" s="199" t="str">
        <f t="shared" si="2"/>
        <v>CurrentSupported LivingAspirations Care Ltd</v>
      </c>
      <c r="E70" s="200">
        <v>23.3</v>
      </c>
      <c r="F70" s="174">
        <v>24</v>
      </c>
      <c r="G70" s="199" t="str">
        <f t="shared" si="3"/>
        <v>CurrentSupported LivingAspirations Care LtdSleep-in</v>
      </c>
      <c r="H70" s="174">
        <v>124.43</v>
      </c>
      <c r="I70" s="174">
        <v>871.01</v>
      </c>
      <c r="J70" s="1" t="s">
        <v>176</v>
      </c>
      <c r="K70" s="198" t="s">
        <v>251</v>
      </c>
    </row>
    <row r="71" spans="1:11" ht="14.5" hidden="1" x14ac:dyDescent="0.35">
      <c r="A71" s="201" t="s">
        <v>156</v>
      </c>
      <c r="B71" s="14" t="s">
        <v>7</v>
      </c>
      <c r="C71" s="14" t="s">
        <v>9</v>
      </c>
      <c r="D71" s="14" t="str">
        <f t="shared" si="2"/>
        <v>CurrentSupported LivingBlue Sky</v>
      </c>
      <c r="E71" s="15">
        <v>23.3</v>
      </c>
      <c r="F71" s="141">
        <v>24</v>
      </c>
      <c r="G71" s="14" t="str">
        <f t="shared" si="3"/>
        <v>CurrentSupported LivingBlue SkySleep-in</v>
      </c>
      <c r="H71" s="141">
        <v>124.43</v>
      </c>
      <c r="I71" s="141">
        <v>871.01</v>
      </c>
      <c r="J71" s="1" t="s">
        <v>176</v>
      </c>
      <c r="K71" s="201" t="s">
        <v>251</v>
      </c>
    </row>
    <row r="72" spans="1:11" ht="14.5" hidden="1" x14ac:dyDescent="0.35">
      <c r="A72" s="201" t="s">
        <v>156</v>
      </c>
      <c r="B72" s="14" t="s">
        <v>7</v>
      </c>
      <c r="C72" s="14" t="s">
        <v>10</v>
      </c>
      <c r="D72" s="14" t="str">
        <f t="shared" si="2"/>
        <v>CurrentSupported LivingChoice Support</v>
      </c>
      <c r="E72" s="15">
        <v>23.3</v>
      </c>
      <c r="F72" s="141">
        <v>24</v>
      </c>
      <c r="G72" s="14" t="str">
        <f t="shared" si="3"/>
        <v>CurrentSupported LivingChoice SupportSleep-in</v>
      </c>
      <c r="H72" s="141">
        <v>124.43</v>
      </c>
      <c r="I72" s="141">
        <v>871.01</v>
      </c>
      <c r="J72" s="1" t="s">
        <v>176</v>
      </c>
      <c r="K72" s="201" t="s">
        <v>251</v>
      </c>
    </row>
    <row r="73" spans="1:11" ht="15" thickBot="1" x14ac:dyDescent="0.4">
      <c r="A73" s="201" t="s">
        <v>156</v>
      </c>
      <c r="B73" s="14" t="s">
        <v>7</v>
      </c>
      <c r="C73" s="14" t="s">
        <v>11</v>
      </c>
      <c r="D73" s="14" t="str">
        <f t="shared" si="2"/>
        <v>CurrentSupported LivingCIC</v>
      </c>
      <c r="E73" s="15">
        <v>23.3</v>
      </c>
      <c r="F73" s="141">
        <v>24</v>
      </c>
      <c r="G73" s="14" t="str">
        <f t="shared" si="3"/>
        <v>CurrentSupported LivingCICSleep-in</v>
      </c>
      <c r="H73" s="141">
        <v>124.43</v>
      </c>
      <c r="I73" s="141">
        <v>871.01</v>
      </c>
      <c r="J73" s="1" t="s">
        <v>176</v>
      </c>
      <c r="K73" s="201" t="s">
        <v>251</v>
      </c>
    </row>
    <row r="74" spans="1:11" ht="15" hidden="1" thickBot="1" x14ac:dyDescent="0.4">
      <c r="A74" s="201" t="s">
        <v>156</v>
      </c>
      <c r="B74" s="14" t="s">
        <v>7</v>
      </c>
      <c r="C74" s="14" t="s">
        <v>166</v>
      </c>
      <c r="D74" s="14" t="str">
        <f t="shared" si="2"/>
        <v>CurrentSupported LivingEden Supported Living Ltd</v>
      </c>
      <c r="E74" s="15">
        <v>23.3</v>
      </c>
      <c r="F74" s="141">
        <v>24</v>
      </c>
      <c r="G74" s="14" t="str">
        <f t="shared" si="3"/>
        <v>CurrentSupported LivingEden Supported Living LtdSleep-in</v>
      </c>
      <c r="H74" s="138">
        <v>110.62</v>
      </c>
      <c r="I74" s="138">
        <v>774.32</v>
      </c>
      <c r="J74" s="1" t="s">
        <v>176</v>
      </c>
      <c r="K74" s="201" t="s">
        <v>251</v>
      </c>
    </row>
    <row r="75" spans="1:11" ht="15" hidden="1" thickBot="1" x14ac:dyDescent="0.4">
      <c r="A75" s="14" t="s">
        <v>156</v>
      </c>
      <c r="B75" s="14" t="s">
        <v>7</v>
      </c>
      <c r="C75" s="14" t="s">
        <v>118</v>
      </c>
      <c r="D75" s="14" t="str">
        <f t="shared" si="2"/>
        <v>CurrentSupported LivingEMH Care &amp; Support Ltd</v>
      </c>
      <c r="E75" s="15">
        <v>23.3</v>
      </c>
      <c r="F75" s="141">
        <v>24</v>
      </c>
      <c r="G75" s="14" t="str">
        <f t="shared" si="3"/>
        <v>CurrentSupported LivingEMH Care &amp; Support LtdSleep-in</v>
      </c>
      <c r="H75" s="138">
        <v>124.43</v>
      </c>
      <c r="I75" s="138">
        <v>871.01</v>
      </c>
      <c r="J75" s="1" t="s">
        <v>176</v>
      </c>
      <c r="K75" s="14" t="s">
        <v>251</v>
      </c>
    </row>
    <row r="76" spans="1:11" ht="15" hidden="1" thickBot="1" x14ac:dyDescent="0.4">
      <c r="A76" s="201" t="s">
        <v>156</v>
      </c>
      <c r="B76" s="14" t="s">
        <v>7</v>
      </c>
      <c r="C76" s="14" t="s">
        <v>12</v>
      </c>
      <c r="D76" s="14" t="str">
        <f t="shared" si="2"/>
        <v>CurrentSupported LivingFitzroy</v>
      </c>
      <c r="E76" s="158">
        <v>23.3</v>
      </c>
      <c r="F76" s="138">
        <v>24</v>
      </c>
      <c r="G76" s="14" t="str">
        <f t="shared" si="3"/>
        <v>CurrentSupported LivingFitzroySleep-in</v>
      </c>
      <c r="H76" s="141">
        <v>124.43</v>
      </c>
      <c r="I76" s="141">
        <v>871.01</v>
      </c>
      <c r="J76" s="1" t="s">
        <v>176</v>
      </c>
      <c r="K76" s="201" t="s">
        <v>251</v>
      </c>
    </row>
    <row r="77" spans="1:11" ht="15" hidden="1" thickBot="1" x14ac:dyDescent="0.4">
      <c r="A77" s="201" t="s">
        <v>156</v>
      </c>
      <c r="B77" s="14" t="s">
        <v>7</v>
      </c>
      <c r="C77" s="14" t="s">
        <v>63</v>
      </c>
      <c r="D77" s="14" t="str">
        <f t="shared" si="2"/>
        <v>CurrentSupported LivingFosse Healthcare (CSE)</v>
      </c>
      <c r="E77" s="15">
        <v>23.3</v>
      </c>
      <c r="F77" s="141">
        <v>24</v>
      </c>
      <c r="G77" s="14" t="str">
        <f t="shared" si="3"/>
        <v>CurrentSupported LivingFosse Healthcare (CSE)Sleep-in</v>
      </c>
      <c r="H77" s="141">
        <v>124.43</v>
      </c>
      <c r="I77" s="141">
        <v>871.01</v>
      </c>
      <c r="J77" s="1" t="s">
        <v>176</v>
      </c>
      <c r="K77" s="201" t="s">
        <v>251</v>
      </c>
    </row>
    <row r="78" spans="1:11" ht="15" hidden="1" thickBot="1" x14ac:dyDescent="0.4">
      <c r="A78" s="201" t="s">
        <v>156</v>
      </c>
      <c r="B78" s="14" t="s">
        <v>7</v>
      </c>
      <c r="C78" s="14" t="s">
        <v>280</v>
      </c>
      <c r="D78" s="14" t="str">
        <f t="shared" si="2"/>
        <v>CurrentSupported LivingFuture Home Care</v>
      </c>
      <c r="E78" s="15">
        <v>23.3</v>
      </c>
      <c r="F78" s="141">
        <v>24</v>
      </c>
      <c r="G78" s="14" t="str">
        <f t="shared" si="3"/>
        <v>CurrentSupported LivingFuture Home CareSleep-in</v>
      </c>
      <c r="H78" s="141">
        <v>124.43</v>
      </c>
      <c r="I78" s="141">
        <v>871.01</v>
      </c>
      <c r="J78" s="1" t="s">
        <v>176</v>
      </c>
      <c r="K78" s="201" t="s">
        <v>251</v>
      </c>
    </row>
    <row r="79" spans="1:11" ht="15" hidden="1" thickBot="1" x14ac:dyDescent="0.4">
      <c r="A79" s="201" t="s">
        <v>156</v>
      </c>
      <c r="B79" s="14" t="s">
        <v>7</v>
      </c>
      <c r="C79" s="14" t="s">
        <v>60</v>
      </c>
      <c r="D79" s="14" t="str">
        <f t="shared" si="2"/>
        <v>CurrentSupported LivingJRH Support (Nottingham)</v>
      </c>
      <c r="E79" s="15">
        <v>23.3</v>
      </c>
      <c r="F79" s="141">
        <v>24</v>
      </c>
      <c r="G79" s="14" t="str">
        <f t="shared" si="3"/>
        <v>CurrentSupported LivingJRH Support (Nottingham)Sleep-in</v>
      </c>
      <c r="H79" s="141">
        <v>124.43</v>
      </c>
      <c r="I79" s="141">
        <v>871.01</v>
      </c>
      <c r="J79" s="1" t="s">
        <v>176</v>
      </c>
      <c r="K79" s="201" t="s">
        <v>251</v>
      </c>
    </row>
    <row r="80" spans="1:11" ht="15" hidden="1" thickBot="1" x14ac:dyDescent="0.4">
      <c r="A80" s="14" t="s">
        <v>156</v>
      </c>
      <c r="B80" s="14" t="s">
        <v>7</v>
      </c>
      <c r="C80" s="14" t="s">
        <v>121</v>
      </c>
      <c r="D80" s="14" t="str">
        <f t="shared" si="2"/>
        <v>CurrentSupported LivingLandermeads (CSE)</v>
      </c>
      <c r="E80" s="15">
        <v>23.3</v>
      </c>
      <c r="F80" s="141">
        <v>24</v>
      </c>
      <c r="G80" s="14" t="str">
        <f t="shared" si="3"/>
        <v>CurrentSupported LivingLandermeads (CSE)Sleep-in</v>
      </c>
      <c r="H80" s="141">
        <v>124.43</v>
      </c>
      <c r="I80" s="141">
        <v>871.01</v>
      </c>
      <c r="J80" s="1" t="s">
        <v>176</v>
      </c>
      <c r="K80" s="14" t="s">
        <v>251</v>
      </c>
    </row>
    <row r="81" spans="1:11" ht="15" hidden="1" thickBot="1" x14ac:dyDescent="0.4">
      <c r="A81" s="201" t="s">
        <v>156</v>
      </c>
      <c r="B81" s="14" t="s">
        <v>7</v>
      </c>
      <c r="C81" s="14" t="s">
        <v>14</v>
      </c>
      <c r="D81" s="14" t="str">
        <f t="shared" si="2"/>
        <v>CurrentSupported LivingLifeways</v>
      </c>
      <c r="E81" s="15">
        <v>23.3</v>
      </c>
      <c r="F81" s="141">
        <v>24</v>
      </c>
      <c r="G81" s="14" t="str">
        <f t="shared" si="3"/>
        <v>CurrentSupported LivingLifewaysSleep-in</v>
      </c>
      <c r="H81" s="141">
        <v>124.43</v>
      </c>
      <c r="I81" s="141">
        <v>871.01</v>
      </c>
      <c r="J81" s="1" t="s">
        <v>176</v>
      </c>
      <c r="K81" s="201" t="s">
        <v>251</v>
      </c>
    </row>
    <row r="82" spans="1:11" ht="15" hidden="1" thickBot="1" x14ac:dyDescent="0.4">
      <c r="A82" s="201" t="s">
        <v>156</v>
      </c>
      <c r="B82" s="14" t="s">
        <v>7</v>
      </c>
      <c r="C82" s="14" t="s">
        <v>54</v>
      </c>
      <c r="D82" s="14" t="str">
        <f t="shared" si="2"/>
        <v>CurrentSupported LivingMencap (Rushcliffe) - Royal Mencap Society</v>
      </c>
      <c r="E82" s="158">
        <v>23.3</v>
      </c>
      <c r="F82" s="138">
        <v>24</v>
      </c>
      <c r="G82" s="14" t="str">
        <f t="shared" si="3"/>
        <v>CurrentSupported LivingMencap (Rushcliffe) - Royal Mencap SocietySleep-in</v>
      </c>
      <c r="H82" s="141">
        <v>124.43</v>
      </c>
      <c r="I82" s="141">
        <v>871.01</v>
      </c>
      <c r="J82" s="1" t="s">
        <v>176</v>
      </c>
      <c r="K82" s="201" t="s">
        <v>251</v>
      </c>
    </row>
    <row r="83" spans="1:11" ht="15" hidden="1" thickBot="1" x14ac:dyDescent="0.4">
      <c r="A83" s="201" t="s">
        <v>156</v>
      </c>
      <c r="B83" s="14" t="s">
        <v>7</v>
      </c>
      <c r="C83" s="14" t="s">
        <v>31</v>
      </c>
      <c r="D83" s="14" t="str">
        <f t="shared" si="2"/>
        <v>CurrentSupported LivingMencap Ex Partnership Home</v>
      </c>
      <c r="E83" s="158">
        <v>23.3</v>
      </c>
      <c r="F83" s="138">
        <v>24</v>
      </c>
      <c r="G83" s="14" t="str">
        <f t="shared" si="3"/>
        <v>CurrentSupported LivingMencap Ex Partnership HomeSleep-in</v>
      </c>
      <c r="H83" s="141">
        <v>124.43</v>
      </c>
      <c r="I83" s="141">
        <v>871.01</v>
      </c>
      <c r="J83" s="1" t="s">
        <v>176</v>
      </c>
      <c r="K83" s="201" t="s">
        <v>251</v>
      </c>
    </row>
    <row r="84" spans="1:11" ht="15" hidden="1" thickBot="1" x14ac:dyDescent="0.4">
      <c r="A84" s="201" t="s">
        <v>156</v>
      </c>
      <c r="B84" s="14" t="s">
        <v>7</v>
      </c>
      <c r="C84" s="14" t="s">
        <v>55</v>
      </c>
      <c r="D84" s="14" t="str">
        <f t="shared" si="2"/>
        <v>CurrentSupported LivingMencap (Worksop) - Royal Mencap Society</v>
      </c>
      <c r="E84" s="158">
        <v>23.3</v>
      </c>
      <c r="F84" s="138">
        <v>24</v>
      </c>
      <c r="G84" s="14" t="str">
        <f t="shared" si="3"/>
        <v>CurrentSupported LivingMencap (Worksop) - Royal Mencap SocietySleep-in</v>
      </c>
      <c r="H84" s="141">
        <v>124.43</v>
      </c>
      <c r="I84" s="141">
        <v>871.01</v>
      </c>
      <c r="J84" s="1" t="s">
        <v>176</v>
      </c>
      <c r="K84" s="201" t="s">
        <v>251</v>
      </c>
    </row>
    <row r="85" spans="1:11" ht="15" hidden="1" thickBot="1" x14ac:dyDescent="0.4">
      <c r="A85" s="201" t="s">
        <v>156</v>
      </c>
      <c r="B85" s="14" t="s">
        <v>7</v>
      </c>
      <c r="C85" s="14" t="s">
        <v>56</v>
      </c>
      <c r="D85" s="14" t="str">
        <f t="shared" si="2"/>
        <v>CurrentSupported LivingMencap Nottm- Gener8</v>
      </c>
      <c r="E85" s="158">
        <v>23.3</v>
      </c>
      <c r="F85" s="138">
        <v>24</v>
      </c>
      <c r="G85" s="14" t="str">
        <f t="shared" si="3"/>
        <v>CurrentSupported LivingMencap Nottm- Gener8Sleep-in</v>
      </c>
      <c r="H85" s="141">
        <v>124.43</v>
      </c>
      <c r="I85" s="141">
        <v>871.01</v>
      </c>
      <c r="J85" s="1" t="s">
        <v>176</v>
      </c>
      <c r="K85" s="201" t="s">
        <v>251</v>
      </c>
    </row>
    <row r="86" spans="1:11" ht="15" hidden="1" thickBot="1" x14ac:dyDescent="0.4">
      <c r="A86" s="201" t="s">
        <v>156</v>
      </c>
      <c r="B86" s="14" t="s">
        <v>7</v>
      </c>
      <c r="C86" s="14" t="s">
        <v>15</v>
      </c>
      <c r="D86" s="14" t="str">
        <f t="shared" si="2"/>
        <v>CurrentSupported LivingNCHA</v>
      </c>
      <c r="E86" s="15">
        <v>23.3</v>
      </c>
      <c r="F86" s="141">
        <v>24</v>
      </c>
      <c r="G86" s="14" t="str">
        <f t="shared" si="3"/>
        <v>CurrentSupported LivingNCHASleep-in</v>
      </c>
      <c r="H86" s="141">
        <v>124.43</v>
      </c>
      <c r="I86" s="141">
        <v>871.01</v>
      </c>
      <c r="J86" s="1" t="s">
        <v>176</v>
      </c>
      <c r="K86" s="201" t="s">
        <v>251</v>
      </c>
    </row>
    <row r="87" spans="1:11" ht="15" hidden="1" thickBot="1" x14ac:dyDescent="0.4">
      <c r="A87" s="201" t="s">
        <v>156</v>
      </c>
      <c r="B87" s="14" t="s">
        <v>7</v>
      </c>
      <c r="C87" s="14" t="s">
        <v>77</v>
      </c>
      <c r="D87" s="14" t="str">
        <f t="shared" si="2"/>
        <v>CurrentSupported LivingReach Learning Disability Care (CiC)</v>
      </c>
      <c r="E87" s="175">
        <v>23.3</v>
      </c>
      <c r="F87" s="138">
        <v>24</v>
      </c>
      <c r="G87" s="14" t="str">
        <f t="shared" si="3"/>
        <v>CurrentSupported LivingReach Learning Disability Care (CiC)Sleep-in</v>
      </c>
      <c r="H87" s="141">
        <v>124.43</v>
      </c>
      <c r="I87" s="141">
        <v>871.01</v>
      </c>
      <c r="J87" s="1" t="s">
        <v>176</v>
      </c>
      <c r="K87" s="201" t="s">
        <v>251</v>
      </c>
    </row>
    <row r="88" spans="1:11" ht="15" hidden="1" thickBot="1" x14ac:dyDescent="0.4">
      <c r="A88" s="201" t="s">
        <v>156</v>
      </c>
      <c r="B88" s="14" t="s">
        <v>7</v>
      </c>
      <c r="C88" s="14" t="s">
        <v>78</v>
      </c>
      <c r="D88" s="14" t="str">
        <f t="shared" si="2"/>
        <v>CurrentSupported LivingRoselea Care Homes (CSE) Paid at CSE STANDARD CONTRACT Max rate for Supp Lvg.</v>
      </c>
      <c r="E88" s="175">
        <v>23.3</v>
      </c>
      <c r="F88" s="138">
        <v>24</v>
      </c>
      <c r="G88" s="14" t="str">
        <f t="shared" si="3"/>
        <v>CurrentSupported LivingRoselea Care Homes (CSE) Paid at CSE STANDARD CONTRACT Max rate for Supp Lvg.Sleep-in</v>
      </c>
      <c r="H88" s="141">
        <v>124.43</v>
      </c>
      <c r="I88" s="141">
        <v>871.01</v>
      </c>
      <c r="J88" s="1" t="s">
        <v>176</v>
      </c>
      <c r="K88" s="201" t="s">
        <v>251</v>
      </c>
    </row>
    <row r="89" spans="1:11" ht="15" hidden="1" thickBot="1" x14ac:dyDescent="0.4">
      <c r="A89" s="14" t="s">
        <v>156</v>
      </c>
      <c r="B89" s="14" t="s">
        <v>7</v>
      </c>
      <c r="C89" s="14" t="s">
        <v>119</v>
      </c>
      <c r="D89" s="14" t="str">
        <f t="shared" si="2"/>
        <v>CurrentSupported LivingSpace Inclusive</v>
      </c>
      <c r="E89" s="15">
        <v>23.3</v>
      </c>
      <c r="F89" s="138">
        <v>24</v>
      </c>
      <c r="G89" s="14" t="str">
        <f t="shared" si="3"/>
        <v>CurrentSupported LivingSpace InclusiveSleep-in</v>
      </c>
      <c r="H89" s="141">
        <v>124.43</v>
      </c>
      <c r="I89" s="141">
        <v>871.01</v>
      </c>
      <c r="J89" s="1" t="s">
        <v>176</v>
      </c>
      <c r="K89" s="14" t="s">
        <v>251</v>
      </c>
    </row>
    <row r="90" spans="1:11" ht="15" hidden="1" thickBot="1" x14ac:dyDescent="0.4">
      <c r="A90" s="201" t="s">
        <v>156</v>
      </c>
      <c r="B90" s="14" t="s">
        <v>7</v>
      </c>
      <c r="C90" s="14" t="s">
        <v>30</v>
      </c>
      <c r="D90" s="14" t="str">
        <f t="shared" si="2"/>
        <v>CurrentSupported LivingSun Healthcare</v>
      </c>
      <c r="E90" s="15">
        <v>23.3</v>
      </c>
      <c r="F90" s="141">
        <v>24</v>
      </c>
      <c r="G90" s="14" t="str">
        <f t="shared" si="3"/>
        <v>CurrentSupported LivingSun HealthcareSleep-in</v>
      </c>
      <c r="H90" s="141">
        <v>124.43</v>
      </c>
      <c r="I90" s="141">
        <v>871.01</v>
      </c>
      <c r="J90" s="1" t="s">
        <v>176</v>
      </c>
      <c r="K90" s="201" t="s">
        <v>251</v>
      </c>
    </row>
    <row r="91" spans="1:11" ht="15" hidden="1" thickBot="1" x14ac:dyDescent="0.4">
      <c r="A91" s="201" t="s">
        <v>156</v>
      </c>
      <c r="B91" s="14" t="s">
        <v>7</v>
      </c>
      <c r="C91" s="14" t="s">
        <v>16</v>
      </c>
      <c r="D91" s="14" t="str">
        <f t="shared" si="2"/>
        <v>CurrentSupported LivingThera</v>
      </c>
      <c r="E91" s="158">
        <v>23.3</v>
      </c>
      <c r="F91" s="138">
        <v>24</v>
      </c>
      <c r="G91" s="14" t="str">
        <f t="shared" si="3"/>
        <v>CurrentSupported LivingTheraSleep-in</v>
      </c>
      <c r="H91" s="141">
        <v>124.43</v>
      </c>
      <c r="I91" s="141">
        <v>871.01</v>
      </c>
      <c r="J91" s="1" t="s">
        <v>176</v>
      </c>
      <c r="K91" s="201" t="s">
        <v>251</v>
      </c>
    </row>
    <row r="92" spans="1:11" ht="15" hidden="1" thickBot="1" x14ac:dyDescent="0.4">
      <c r="A92" s="201" t="s">
        <v>156</v>
      </c>
      <c r="B92" s="14" t="s">
        <v>7</v>
      </c>
      <c r="C92" s="14" t="s">
        <v>17</v>
      </c>
      <c r="D92" s="14" t="str">
        <f t="shared" si="2"/>
        <v>CurrentSupported LivingUnited Response</v>
      </c>
      <c r="E92" s="15">
        <v>23.3</v>
      </c>
      <c r="F92" s="141">
        <v>24</v>
      </c>
      <c r="G92" s="14" t="str">
        <f t="shared" si="3"/>
        <v>CurrentSupported LivingUnited ResponseSleep-in</v>
      </c>
      <c r="H92" s="141">
        <v>124.43</v>
      </c>
      <c r="I92" s="141">
        <v>871.01</v>
      </c>
      <c r="J92" s="1" t="s">
        <v>176</v>
      </c>
      <c r="K92" s="201" t="s">
        <v>251</v>
      </c>
    </row>
    <row r="93" spans="1:11" ht="15" hidden="1" thickBot="1" x14ac:dyDescent="0.4">
      <c r="A93" s="201" t="s">
        <v>156</v>
      </c>
      <c r="B93" s="14" t="s">
        <v>7</v>
      </c>
      <c r="C93" s="14" t="s">
        <v>18</v>
      </c>
      <c r="D93" s="14" t="str">
        <f t="shared" si="2"/>
        <v>CurrentSupported LivingVoyage</v>
      </c>
      <c r="E93" s="15">
        <v>23.3</v>
      </c>
      <c r="F93" s="141">
        <v>24</v>
      </c>
      <c r="G93" s="14" t="str">
        <f t="shared" si="3"/>
        <v>CurrentSupported LivingVoyageSleep-in</v>
      </c>
      <c r="H93" s="141">
        <v>124.43</v>
      </c>
      <c r="I93" s="141">
        <v>871.01</v>
      </c>
      <c r="J93" s="1" t="s">
        <v>176</v>
      </c>
      <c r="K93" s="201" t="s">
        <v>251</v>
      </c>
    </row>
    <row r="94" spans="1:11" ht="15" hidden="1" thickBot="1" x14ac:dyDescent="0.4">
      <c r="A94" s="14" t="s">
        <v>156</v>
      </c>
      <c r="B94" s="14" t="s">
        <v>7</v>
      </c>
      <c r="C94" s="14" t="s">
        <v>120</v>
      </c>
      <c r="D94" s="14" t="str">
        <f t="shared" si="2"/>
        <v>CurrentSupported LivingWellgate Support Ltd</v>
      </c>
      <c r="E94" s="15">
        <v>23.3</v>
      </c>
      <c r="F94" s="157">
        <v>24</v>
      </c>
      <c r="G94" s="14" t="str">
        <f t="shared" si="3"/>
        <v>CurrentSupported LivingWellgate Support LtdSleep-in</v>
      </c>
      <c r="H94" s="157">
        <v>124.43</v>
      </c>
      <c r="I94" s="157">
        <v>871.01</v>
      </c>
      <c r="J94" s="261" t="s">
        <v>176</v>
      </c>
      <c r="K94" s="14" t="s">
        <v>251</v>
      </c>
    </row>
    <row r="95" spans="1:11" ht="14.5" x14ac:dyDescent="0.35">
      <c r="A95" s="202" t="s">
        <v>156</v>
      </c>
      <c r="B95" s="159" t="s">
        <v>19</v>
      </c>
      <c r="C95" s="159" t="s">
        <v>11</v>
      </c>
      <c r="D95" s="159" t="str">
        <f t="shared" si="2"/>
        <v>CurrentSupported Living PlusCIC</v>
      </c>
      <c r="E95" s="160">
        <v>25.59</v>
      </c>
      <c r="F95" s="174">
        <v>26.36</v>
      </c>
      <c r="G95" s="159" t="str">
        <f t="shared" si="3"/>
        <v>CurrentSupported Living PlusCICSleep-in</v>
      </c>
      <c r="H95" s="174">
        <v>124.43</v>
      </c>
      <c r="I95" s="174">
        <v>871.01</v>
      </c>
      <c r="J95" s="262" t="s">
        <v>177</v>
      </c>
      <c r="K95" s="202" t="s">
        <v>251</v>
      </c>
    </row>
    <row r="96" spans="1:11" ht="14.5" hidden="1" x14ac:dyDescent="0.35">
      <c r="A96" s="203" t="s">
        <v>156</v>
      </c>
      <c r="B96" s="16" t="s">
        <v>19</v>
      </c>
      <c r="C96" s="16" t="s">
        <v>166</v>
      </c>
      <c r="D96" s="16" t="str">
        <f t="shared" si="2"/>
        <v>CurrentSupported Living PlusEden Supported Living Ltd</v>
      </c>
      <c r="E96" s="17">
        <v>25.59</v>
      </c>
      <c r="F96" s="141">
        <v>26.36</v>
      </c>
      <c r="G96" s="16" t="str">
        <f t="shared" si="3"/>
        <v>CurrentSupported Living PlusEden Supported Living LtdSleep-in</v>
      </c>
      <c r="H96" s="141">
        <v>124.43</v>
      </c>
      <c r="I96" s="141">
        <v>871.01</v>
      </c>
      <c r="J96" s="259" t="s">
        <v>177</v>
      </c>
      <c r="K96" s="203" t="s">
        <v>251</v>
      </c>
    </row>
    <row r="97" spans="1:11" ht="14.5" hidden="1" x14ac:dyDescent="0.35">
      <c r="A97" s="203" t="s">
        <v>156</v>
      </c>
      <c r="B97" s="16" t="s">
        <v>19</v>
      </c>
      <c r="C97" s="16" t="s">
        <v>12</v>
      </c>
      <c r="D97" s="16" t="str">
        <f t="shared" si="2"/>
        <v>CurrentSupported Living PlusFitzroy</v>
      </c>
      <c r="E97" s="161">
        <v>25.59</v>
      </c>
      <c r="F97" s="138">
        <v>26.36</v>
      </c>
      <c r="G97" s="16" t="str">
        <f t="shared" si="3"/>
        <v>CurrentSupported Living PlusFitzroySleep-in</v>
      </c>
      <c r="H97" s="141">
        <v>124.43</v>
      </c>
      <c r="I97" s="141">
        <v>871.01</v>
      </c>
      <c r="J97" s="259" t="s">
        <v>177</v>
      </c>
      <c r="K97" s="203" t="s">
        <v>251</v>
      </c>
    </row>
    <row r="98" spans="1:11" ht="14.5" hidden="1" x14ac:dyDescent="0.35">
      <c r="A98" s="203" t="s">
        <v>156</v>
      </c>
      <c r="B98" s="16" t="s">
        <v>19</v>
      </c>
      <c r="C98" s="16" t="s">
        <v>63</v>
      </c>
      <c r="D98" s="16" t="str">
        <f t="shared" si="2"/>
        <v>CurrentSupported Living PlusFosse Healthcare (CSE)</v>
      </c>
      <c r="E98" s="17">
        <v>24.44</v>
      </c>
      <c r="F98" s="141">
        <v>25.17</v>
      </c>
      <c r="G98" s="16" t="str">
        <f t="shared" si="3"/>
        <v>CurrentSupported Living PlusFosse Healthcare (CSE)Sleep-in</v>
      </c>
      <c r="H98" s="141">
        <v>124.43</v>
      </c>
      <c r="I98" s="141">
        <v>871.01</v>
      </c>
      <c r="J98" s="259" t="s">
        <v>178</v>
      </c>
      <c r="K98" s="203" t="s">
        <v>251</v>
      </c>
    </row>
    <row r="99" spans="1:11" ht="14.5" hidden="1" x14ac:dyDescent="0.35">
      <c r="A99" s="203" t="s">
        <v>156</v>
      </c>
      <c r="B99" s="16" t="s">
        <v>19</v>
      </c>
      <c r="C99" s="16" t="s">
        <v>13</v>
      </c>
      <c r="D99" s="16" t="str">
        <f t="shared" si="2"/>
        <v>CurrentSupported Living PlusFuture Homecare</v>
      </c>
      <c r="E99" s="17">
        <v>25.59</v>
      </c>
      <c r="F99" s="141">
        <v>26.36</v>
      </c>
      <c r="G99" s="16" t="str">
        <f t="shared" si="3"/>
        <v>CurrentSupported Living PlusFuture HomecareSleep-in</v>
      </c>
      <c r="H99" s="141">
        <v>124.43</v>
      </c>
      <c r="I99" s="141">
        <v>871.01</v>
      </c>
      <c r="J99" s="259" t="s">
        <v>177</v>
      </c>
      <c r="K99" s="203" t="s">
        <v>251</v>
      </c>
    </row>
    <row r="100" spans="1:11" ht="14.5" hidden="1" x14ac:dyDescent="0.35">
      <c r="A100" s="263" t="s">
        <v>156</v>
      </c>
      <c r="B100" s="264" t="s">
        <v>19</v>
      </c>
      <c r="C100" s="264" t="s">
        <v>330</v>
      </c>
      <c r="D100" s="264" t="str">
        <f t="shared" si="2"/>
        <v>CurrentSupported Living PlusConsensus Community Support Ltd</v>
      </c>
      <c r="E100" s="265">
        <v>25.59</v>
      </c>
      <c r="F100" s="265">
        <v>26.36</v>
      </c>
      <c r="G100" s="264" t="str">
        <f t="shared" si="3"/>
        <v>CurrentSupported Living PlusConsensus Community Support LtdSleep-in</v>
      </c>
      <c r="H100" s="265">
        <v>124.43</v>
      </c>
      <c r="I100" s="265">
        <v>871.01</v>
      </c>
      <c r="J100" s="264" t="s">
        <v>331</v>
      </c>
      <c r="K100" s="203" t="s">
        <v>251</v>
      </c>
    </row>
    <row r="101" spans="1:11" ht="14.5" hidden="1" x14ac:dyDescent="0.35">
      <c r="A101" s="203" t="s">
        <v>156</v>
      </c>
      <c r="B101" s="16" t="s">
        <v>19</v>
      </c>
      <c r="C101" s="16" t="s">
        <v>15</v>
      </c>
      <c r="D101" s="16" t="str">
        <f t="shared" si="2"/>
        <v>CurrentSupported Living PlusNCHA</v>
      </c>
      <c r="E101" s="17">
        <v>24.44</v>
      </c>
      <c r="F101" s="141">
        <v>25.17</v>
      </c>
      <c r="G101" s="16" t="str">
        <f t="shared" si="3"/>
        <v>CurrentSupported Living PlusNCHASleep-in</v>
      </c>
      <c r="H101" s="141">
        <v>124.43</v>
      </c>
      <c r="I101" s="141">
        <v>871.01</v>
      </c>
      <c r="J101" s="259" t="s">
        <v>178</v>
      </c>
      <c r="K101" s="203" t="s">
        <v>251</v>
      </c>
    </row>
    <row r="102" spans="1:11" ht="14.5" hidden="1" x14ac:dyDescent="0.35">
      <c r="A102" s="203" t="s">
        <v>156</v>
      </c>
      <c r="B102" s="16" t="s">
        <v>19</v>
      </c>
      <c r="C102" s="16" t="s">
        <v>32</v>
      </c>
      <c r="D102" s="16" t="str">
        <f t="shared" si="2"/>
        <v>CurrentSupported Living PlusPerthyn - with TUPE</v>
      </c>
      <c r="E102" s="17">
        <v>22.21</v>
      </c>
      <c r="F102" s="141">
        <v>22.88</v>
      </c>
      <c r="G102" s="16" t="str">
        <f t="shared" si="3"/>
        <v>CurrentSupported Living PlusPerthyn - with TUPESleep-in</v>
      </c>
      <c r="H102" s="141">
        <v>124.43</v>
      </c>
      <c r="I102" s="141">
        <v>871.01</v>
      </c>
      <c r="J102" s="259" t="s">
        <v>179</v>
      </c>
      <c r="K102" s="203" t="s">
        <v>251</v>
      </c>
    </row>
    <row r="103" spans="1:11" ht="14.5" hidden="1" x14ac:dyDescent="0.35">
      <c r="A103" s="203" t="s">
        <v>156</v>
      </c>
      <c r="B103" s="16" t="s">
        <v>19</v>
      </c>
      <c r="C103" s="16" t="s">
        <v>35</v>
      </c>
      <c r="D103" s="16" t="str">
        <f t="shared" si="2"/>
        <v>CurrentSupported Living PlusPerthyn - without Tupe</v>
      </c>
      <c r="E103" s="17">
        <v>24.44</v>
      </c>
      <c r="F103" s="141">
        <v>25.17</v>
      </c>
      <c r="G103" s="16" t="str">
        <f t="shared" si="3"/>
        <v>CurrentSupported Living PlusPerthyn - without TupeSleep-in</v>
      </c>
      <c r="H103" s="141">
        <v>124.43</v>
      </c>
      <c r="I103" s="141">
        <v>871.01</v>
      </c>
      <c r="J103" s="259" t="s">
        <v>180</v>
      </c>
      <c r="K103" s="203" t="s">
        <v>251</v>
      </c>
    </row>
    <row r="104" spans="1:11" ht="14.5" hidden="1" x14ac:dyDescent="0.35">
      <c r="A104" s="16" t="s">
        <v>156</v>
      </c>
      <c r="B104" s="16" t="s">
        <v>19</v>
      </c>
      <c r="C104" s="16" t="s">
        <v>77</v>
      </c>
      <c r="D104" s="16" t="str">
        <f t="shared" si="2"/>
        <v>CurrentSupported Living PlusReach Learning Disability Care (CiC)</v>
      </c>
      <c r="E104" s="17">
        <v>25.59</v>
      </c>
      <c r="F104" s="141">
        <v>26.36</v>
      </c>
      <c r="G104" s="16" t="str">
        <f t="shared" si="3"/>
        <v>CurrentSupported Living PlusReach Learning Disability Care (CiC)Sleep-in</v>
      </c>
      <c r="H104" s="141">
        <v>124.43</v>
      </c>
      <c r="I104" s="141">
        <v>871.01</v>
      </c>
      <c r="J104" s="259" t="s">
        <v>177</v>
      </c>
      <c r="K104" s="16" t="s">
        <v>251</v>
      </c>
    </row>
    <row r="105" spans="1:11" ht="14.5" hidden="1" x14ac:dyDescent="0.35">
      <c r="A105" s="16" t="s">
        <v>156</v>
      </c>
      <c r="B105" s="16" t="s">
        <v>19</v>
      </c>
      <c r="C105" s="16" t="s">
        <v>122</v>
      </c>
      <c r="D105" s="16" t="str">
        <f t="shared" si="2"/>
        <v>CurrentSupported Living PlusTurning Point (CSE)</v>
      </c>
      <c r="E105" s="17">
        <v>25.59</v>
      </c>
      <c r="F105" s="141">
        <v>26.36</v>
      </c>
      <c r="G105" s="16" t="str">
        <f t="shared" si="3"/>
        <v>CurrentSupported Living PlusTurning Point (CSE)Sleep-in</v>
      </c>
      <c r="H105" s="141">
        <v>124.43</v>
      </c>
      <c r="I105" s="141">
        <v>871.01</v>
      </c>
      <c r="J105" s="259" t="s">
        <v>177</v>
      </c>
      <c r="K105" s="16" t="s">
        <v>251</v>
      </c>
    </row>
    <row r="106" spans="1:11" ht="15" hidden="1" thickBot="1" x14ac:dyDescent="0.4">
      <c r="A106" s="204" t="s">
        <v>156</v>
      </c>
      <c r="B106" s="162" t="s">
        <v>19</v>
      </c>
      <c r="C106" s="162" t="s">
        <v>17</v>
      </c>
      <c r="D106" s="162" t="str">
        <f t="shared" si="2"/>
        <v>CurrentSupported Living PlusUnited Response</v>
      </c>
      <c r="E106" s="163">
        <v>25.59</v>
      </c>
      <c r="F106" s="157">
        <v>26.36</v>
      </c>
      <c r="G106" s="162" t="str">
        <f t="shared" si="3"/>
        <v>CurrentSupported Living PlusUnited ResponseSleep-in</v>
      </c>
      <c r="H106" s="157">
        <v>124.43</v>
      </c>
      <c r="I106" s="157">
        <v>871.01</v>
      </c>
      <c r="J106" s="266" t="s">
        <v>177</v>
      </c>
      <c r="K106" s="204" t="s">
        <v>251</v>
      </c>
    </row>
    <row r="107" spans="1:11" ht="14.5" hidden="1" x14ac:dyDescent="0.35">
      <c r="A107" s="205" t="s">
        <v>156</v>
      </c>
      <c r="B107" s="164" t="s">
        <v>249</v>
      </c>
      <c r="C107" s="164" t="s">
        <v>163</v>
      </c>
      <c r="D107" s="164" t="str">
        <f t="shared" si="2"/>
        <v>CurrentCSE Day Care 1 to 1 supportAspirations Care Ltd</v>
      </c>
      <c r="E107" s="165">
        <v>23.3</v>
      </c>
      <c r="F107" s="174">
        <v>24</v>
      </c>
      <c r="G107" s="164" t="str">
        <f t="shared" si="3"/>
        <v>CurrentCSE Day Care 1 to 1 supportAspirations Care LtdSleep-in</v>
      </c>
      <c r="H107" s="136">
        <v>0</v>
      </c>
      <c r="I107" s="136">
        <v>0</v>
      </c>
      <c r="J107" s="267" t="s">
        <v>181</v>
      </c>
      <c r="K107" s="205" t="s">
        <v>251</v>
      </c>
    </row>
    <row r="108" spans="1:11" ht="14.5" hidden="1" x14ac:dyDescent="0.35">
      <c r="A108" s="206" t="s">
        <v>156</v>
      </c>
      <c r="B108" s="26" t="s">
        <v>249</v>
      </c>
      <c r="C108" s="26" t="s">
        <v>9</v>
      </c>
      <c r="D108" s="26" t="str">
        <f t="shared" si="2"/>
        <v>CurrentCSE Day Care 1 to 1 supportBlue Sky</v>
      </c>
      <c r="E108" s="27">
        <v>23.3</v>
      </c>
      <c r="F108" s="141">
        <v>24</v>
      </c>
      <c r="G108" s="26" t="str">
        <f t="shared" si="3"/>
        <v>CurrentCSE Day Care 1 to 1 supportBlue SkySleep-in</v>
      </c>
      <c r="H108" s="139">
        <v>0</v>
      </c>
      <c r="I108" s="139">
        <v>0</v>
      </c>
      <c r="J108" s="1" t="s">
        <v>181</v>
      </c>
      <c r="K108" s="206" t="s">
        <v>251</v>
      </c>
    </row>
    <row r="109" spans="1:11" ht="14.5" hidden="1" x14ac:dyDescent="0.35">
      <c r="A109" s="206" t="s">
        <v>156</v>
      </c>
      <c r="B109" s="26" t="s">
        <v>249</v>
      </c>
      <c r="C109" s="26" t="s">
        <v>10</v>
      </c>
      <c r="D109" s="26" t="str">
        <f t="shared" si="2"/>
        <v>CurrentCSE Day Care 1 to 1 supportChoice Support</v>
      </c>
      <c r="E109" s="27">
        <v>23.3</v>
      </c>
      <c r="F109" s="141">
        <v>24</v>
      </c>
      <c r="G109" s="26" t="str">
        <f t="shared" si="3"/>
        <v>CurrentCSE Day Care 1 to 1 supportChoice SupportSleep-in</v>
      </c>
      <c r="H109" s="139">
        <v>0</v>
      </c>
      <c r="I109" s="139">
        <v>0</v>
      </c>
      <c r="J109" s="1" t="s">
        <v>181</v>
      </c>
      <c r="K109" s="206" t="s">
        <v>251</v>
      </c>
    </row>
    <row r="110" spans="1:11" ht="14.5" x14ac:dyDescent="0.35">
      <c r="A110" s="206" t="s">
        <v>156</v>
      </c>
      <c r="B110" s="26" t="s">
        <v>249</v>
      </c>
      <c r="C110" s="26" t="s">
        <v>11</v>
      </c>
      <c r="D110" s="26" t="str">
        <f t="shared" si="2"/>
        <v>CurrentCSE Day Care 1 to 1 supportCIC</v>
      </c>
      <c r="E110" s="27">
        <v>23.3</v>
      </c>
      <c r="F110" s="141">
        <v>24</v>
      </c>
      <c r="G110" s="26" t="str">
        <f t="shared" si="3"/>
        <v>CurrentCSE Day Care 1 to 1 supportCICSleep-in</v>
      </c>
      <c r="H110" s="139">
        <v>0</v>
      </c>
      <c r="I110" s="139">
        <v>0</v>
      </c>
      <c r="J110" s="1" t="s">
        <v>181</v>
      </c>
      <c r="K110" s="206" t="s">
        <v>251</v>
      </c>
    </row>
    <row r="111" spans="1:11" ht="14.5" hidden="1" x14ac:dyDescent="0.35">
      <c r="A111" s="206" t="s">
        <v>156</v>
      </c>
      <c r="B111" s="26" t="s">
        <v>249</v>
      </c>
      <c r="C111" s="26" t="s">
        <v>166</v>
      </c>
      <c r="D111" s="26" t="str">
        <f t="shared" si="2"/>
        <v>CurrentCSE Day Care 1 to 1 supportEden Supported Living Ltd</v>
      </c>
      <c r="E111" s="27">
        <v>23.3</v>
      </c>
      <c r="F111" s="141">
        <v>24</v>
      </c>
      <c r="G111" s="26" t="str">
        <f t="shared" si="3"/>
        <v>CurrentCSE Day Care 1 to 1 supportEden Supported Living LtdSleep-in</v>
      </c>
      <c r="H111" s="139">
        <v>0</v>
      </c>
      <c r="I111" s="139">
        <v>0</v>
      </c>
      <c r="J111" s="1" t="s">
        <v>181</v>
      </c>
      <c r="K111" s="206" t="s">
        <v>251</v>
      </c>
    </row>
    <row r="112" spans="1:11" ht="14.5" hidden="1" x14ac:dyDescent="0.35">
      <c r="A112" s="26" t="s">
        <v>156</v>
      </c>
      <c r="B112" s="26" t="s">
        <v>249</v>
      </c>
      <c r="C112" s="26" t="s">
        <v>118</v>
      </c>
      <c r="D112" s="26" t="str">
        <f t="shared" si="2"/>
        <v>CurrentCSE Day Care 1 to 1 supportEMH Care &amp; Support Ltd</v>
      </c>
      <c r="E112" s="27">
        <v>23.3</v>
      </c>
      <c r="F112" s="141">
        <v>24</v>
      </c>
      <c r="G112" s="26" t="str">
        <f t="shared" si="3"/>
        <v>CurrentCSE Day Care 1 to 1 supportEMH Care &amp; Support LtdSleep-in</v>
      </c>
      <c r="H112" s="139">
        <v>0</v>
      </c>
      <c r="I112" s="139">
        <v>0</v>
      </c>
      <c r="J112" s="1" t="s">
        <v>181</v>
      </c>
      <c r="K112" s="26" t="s">
        <v>251</v>
      </c>
    </row>
    <row r="113" spans="1:11" ht="13" hidden="1" x14ac:dyDescent="0.3">
      <c r="A113" s="206" t="s">
        <v>156</v>
      </c>
      <c r="B113" s="26" t="s">
        <v>249</v>
      </c>
      <c r="C113" s="26" t="s">
        <v>12</v>
      </c>
      <c r="D113" s="26" t="str">
        <f t="shared" si="2"/>
        <v>CurrentCSE Day Care 1 to 1 supportFitzroy</v>
      </c>
      <c r="E113" s="166">
        <v>23.3</v>
      </c>
      <c r="F113" s="138">
        <v>24</v>
      </c>
      <c r="G113" s="26" t="str">
        <f t="shared" si="3"/>
        <v>CurrentCSE Day Care 1 to 1 supportFitzroySleep-in</v>
      </c>
      <c r="H113" s="139">
        <v>0</v>
      </c>
      <c r="I113" s="139">
        <v>0</v>
      </c>
      <c r="J113" s="1" t="s">
        <v>181</v>
      </c>
      <c r="K113" s="206" t="s">
        <v>251</v>
      </c>
    </row>
    <row r="114" spans="1:11" ht="14.5" hidden="1" x14ac:dyDescent="0.35">
      <c r="A114" s="206" t="s">
        <v>156</v>
      </c>
      <c r="B114" s="26" t="s">
        <v>249</v>
      </c>
      <c r="C114" s="26" t="s">
        <v>63</v>
      </c>
      <c r="D114" s="26" t="str">
        <f t="shared" si="2"/>
        <v>CurrentCSE Day Care 1 to 1 supportFosse Healthcare (CSE)</v>
      </c>
      <c r="E114" s="27">
        <v>23.3</v>
      </c>
      <c r="F114" s="141">
        <v>24</v>
      </c>
      <c r="G114" s="26" t="str">
        <f t="shared" si="3"/>
        <v>CurrentCSE Day Care 1 to 1 supportFosse Healthcare (CSE)Sleep-in</v>
      </c>
      <c r="H114" s="139">
        <v>0</v>
      </c>
      <c r="I114" s="139">
        <v>0</v>
      </c>
      <c r="J114" s="1" t="s">
        <v>181</v>
      </c>
      <c r="K114" s="206" t="s">
        <v>251</v>
      </c>
    </row>
    <row r="115" spans="1:11" ht="14.5" hidden="1" x14ac:dyDescent="0.35">
      <c r="A115" s="206" t="s">
        <v>156</v>
      </c>
      <c r="B115" s="26" t="s">
        <v>249</v>
      </c>
      <c r="C115" s="26" t="s">
        <v>280</v>
      </c>
      <c r="D115" s="26" t="str">
        <f t="shared" si="2"/>
        <v>CurrentCSE Day Care 1 to 1 supportFuture Home Care</v>
      </c>
      <c r="E115" s="27">
        <v>23.3</v>
      </c>
      <c r="F115" s="141">
        <v>24</v>
      </c>
      <c r="G115" s="26" t="str">
        <f t="shared" si="3"/>
        <v>CurrentCSE Day Care 1 to 1 supportFuture Home CareSleep-in</v>
      </c>
      <c r="H115" s="139">
        <v>0</v>
      </c>
      <c r="I115" s="139">
        <v>0</v>
      </c>
      <c r="J115" s="1" t="s">
        <v>181</v>
      </c>
      <c r="K115" s="206" t="s">
        <v>251</v>
      </c>
    </row>
    <row r="116" spans="1:11" ht="14.5" hidden="1" x14ac:dyDescent="0.35">
      <c r="A116" s="206" t="s">
        <v>156</v>
      </c>
      <c r="B116" s="26" t="s">
        <v>249</v>
      </c>
      <c r="C116" s="26" t="s">
        <v>60</v>
      </c>
      <c r="D116" s="26" t="str">
        <f t="shared" si="2"/>
        <v>CurrentCSE Day Care 1 to 1 supportJRH Support (Nottingham)</v>
      </c>
      <c r="E116" s="27">
        <v>23.3</v>
      </c>
      <c r="F116" s="141">
        <v>24</v>
      </c>
      <c r="G116" s="26" t="str">
        <f t="shared" si="3"/>
        <v>CurrentCSE Day Care 1 to 1 supportJRH Support (Nottingham)Sleep-in</v>
      </c>
      <c r="H116" s="139">
        <v>0</v>
      </c>
      <c r="I116" s="139">
        <v>0</v>
      </c>
      <c r="J116" s="1" t="s">
        <v>181</v>
      </c>
      <c r="K116" s="206" t="s">
        <v>251</v>
      </c>
    </row>
    <row r="117" spans="1:11" ht="14.5" hidden="1" x14ac:dyDescent="0.35">
      <c r="A117" s="206" t="s">
        <v>156</v>
      </c>
      <c r="B117" s="26" t="s">
        <v>249</v>
      </c>
      <c r="C117" s="26" t="s">
        <v>14</v>
      </c>
      <c r="D117" s="26" t="str">
        <f t="shared" si="2"/>
        <v>CurrentCSE Day Care 1 to 1 supportLifeways</v>
      </c>
      <c r="E117" s="27">
        <v>23.3</v>
      </c>
      <c r="F117" s="141">
        <v>24</v>
      </c>
      <c r="G117" s="26" t="str">
        <f t="shared" si="3"/>
        <v>CurrentCSE Day Care 1 to 1 supportLifewaysSleep-in</v>
      </c>
      <c r="H117" s="139">
        <v>0</v>
      </c>
      <c r="I117" s="139">
        <v>0</v>
      </c>
      <c r="J117" s="1" t="s">
        <v>181</v>
      </c>
      <c r="K117" s="206" t="s">
        <v>251</v>
      </c>
    </row>
    <row r="118" spans="1:11" ht="13" hidden="1" x14ac:dyDescent="0.3">
      <c r="A118" s="206" t="s">
        <v>156</v>
      </c>
      <c r="B118" s="26" t="s">
        <v>249</v>
      </c>
      <c r="C118" s="26" t="s">
        <v>54</v>
      </c>
      <c r="D118" s="26" t="str">
        <f t="shared" si="2"/>
        <v>CurrentCSE Day Care 1 to 1 supportMencap (Rushcliffe) - Royal Mencap Society</v>
      </c>
      <c r="E118" s="166">
        <v>23.3</v>
      </c>
      <c r="F118" s="138">
        <v>24</v>
      </c>
      <c r="G118" s="26" t="str">
        <f t="shared" si="3"/>
        <v>CurrentCSE Day Care 1 to 1 supportMencap (Rushcliffe) - Royal Mencap SocietySleep-in</v>
      </c>
      <c r="H118" s="139">
        <v>0</v>
      </c>
      <c r="I118" s="139">
        <v>0</v>
      </c>
      <c r="J118" s="1" t="s">
        <v>181</v>
      </c>
      <c r="K118" s="206" t="s">
        <v>251</v>
      </c>
    </row>
    <row r="119" spans="1:11" ht="13" hidden="1" x14ac:dyDescent="0.3">
      <c r="A119" s="206" t="s">
        <v>156</v>
      </c>
      <c r="B119" s="26" t="s">
        <v>249</v>
      </c>
      <c r="C119" s="26" t="s">
        <v>31</v>
      </c>
      <c r="D119" s="26" t="str">
        <f t="shared" si="2"/>
        <v>CurrentCSE Day Care 1 to 1 supportMencap Ex Partnership Home</v>
      </c>
      <c r="E119" s="166">
        <v>23.3</v>
      </c>
      <c r="F119" s="138">
        <v>24</v>
      </c>
      <c r="G119" s="26" t="str">
        <f t="shared" si="3"/>
        <v>CurrentCSE Day Care 1 to 1 supportMencap Ex Partnership HomeSleep-in</v>
      </c>
      <c r="H119" s="139">
        <v>0</v>
      </c>
      <c r="I119" s="139">
        <v>0</v>
      </c>
      <c r="J119" s="1" t="s">
        <v>181</v>
      </c>
      <c r="K119" s="206" t="s">
        <v>251</v>
      </c>
    </row>
    <row r="120" spans="1:11" ht="13" hidden="1" x14ac:dyDescent="0.3">
      <c r="A120" s="206" t="s">
        <v>156</v>
      </c>
      <c r="B120" s="26" t="s">
        <v>249</v>
      </c>
      <c r="C120" s="26" t="s">
        <v>55</v>
      </c>
      <c r="D120" s="26" t="str">
        <f t="shared" si="2"/>
        <v>CurrentCSE Day Care 1 to 1 supportMencap (Worksop) - Royal Mencap Society</v>
      </c>
      <c r="E120" s="166">
        <v>23.3</v>
      </c>
      <c r="F120" s="138">
        <v>24</v>
      </c>
      <c r="G120" s="26" t="str">
        <f t="shared" si="3"/>
        <v>CurrentCSE Day Care 1 to 1 supportMencap (Worksop) - Royal Mencap SocietySleep-in</v>
      </c>
      <c r="H120" s="139">
        <v>0</v>
      </c>
      <c r="I120" s="139">
        <v>0</v>
      </c>
      <c r="J120" s="1" t="s">
        <v>181</v>
      </c>
      <c r="K120" s="206" t="s">
        <v>251</v>
      </c>
    </row>
    <row r="121" spans="1:11" ht="13" hidden="1" x14ac:dyDescent="0.3">
      <c r="A121" s="206" t="s">
        <v>156</v>
      </c>
      <c r="B121" s="26" t="s">
        <v>249</v>
      </c>
      <c r="C121" s="26" t="s">
        <v>56</v>
      </c>
      <c r="D121" s="26" t="str">
        <f t="shared" si="2"/>
        <v>CurrentCSE Day Care 1 to 1 supportMencap Nottm- Gener8</v>
      </c>
      <c r="E121" s="166">
        <v>23.3</v>
      </c>
      <c r="F121" s="138">
        <v>24</v>
      </c>
      <c r="G121" s="26" t="str">
        <f t="shared" si="3"/>
        <v>CurrentCSE Day Care 1 to 1 supportMencap Nottm- Gener8Sleep-in</v>
      </c>
      <c r="H121" s="139">
        <v>0</v>
      </c>
      <c r="I121" s="139">
        <v>0</v>
      </c>
      <c r="J121" s="1" t="s">
        <v>181</v>
      </c>
      <c r="K121" s="206" t="s">
        <v>251</v>
      </c>
    </row>
    <row r="122" spans="1:11" ht="14.5" hidden="1" x14ac:dyDescent="0.35">
      <c r="A122" s="206" t="s">
        <v>156</v>
      </c>
      <c r="B122" s="26" t="s">
        <v>249</v>
      </c>
      <c r="C122" s="26" t="s">
        <v>15</v>
      </c>
      <c r="D122" s="26" t="str">
        <f t="shared" si="2"/>
        <v>CurrentCSE Day Care 1 to 1 supportNCHA</v>
      </c>
      <c r="E122" s="27">
        <v>23.3</v>
      </c>
      <c r="F122" s="141">
        <v>24</v>
      </c>
      <c r="G122" s="26" t="str">
        <f t="shared" si="3"/>
        <v>CurrentCSE Day Care 1 to 1 supportNCHASleep-in</v>
      </c>
      <c r="H122" s="139">
        <v>0</v>
      </c>
      <c r="I122" s="139">
        <v>0</v>
      </c>
      <c r="J122" s="1" t="s">
        <v>181</v>
      </c>
      <c r="K122" s="206" t="s">
        <v>251</v>
      </c>
    </row>
    <row r="123" spans="1:11" ht="14.5" hidden="1" x14ac:dyDescent="0.35">
      <c r="A123" s="206" t="s">
        <v>156</v>
      </c>
      <c r="B123" s="26" t="s">
        <v>249</v>
      </c>
      <c r="C123" s="26" t="s">
        <v>77</v>
      </c>
      <c r="D123" s="26" t="str">
        <f t="shared" si="2"/>
        <v>CurrentCSE Day Care 1 to 1 supportReach Learning Disability Care (CiC)</v>
      </c>
      <c r="E123" s="27">
        <v>23.3</v>
      </c>
      <c r="F123" s="141">
        <v>24</v>
      </c>
      <c r="G123" s="26" t="str">
        <f t="shared" si="3"/>
        <v>CurrentCSE Day Care 1 to 1 supportReach Learning Disability Care (CiC)Sleep-in</v>
      </c>
      <c r="H123" s="139">
        <v>0</v>
      </c>
      <c r="I123" s="139">
        <v>0</v>
      </c>
      <c r="J123" s="1" t="s">
        <v>181</v>
      </c>
      <c r="K123" s="206" t="s">
        <v>251</v>
      </c>
    </row>
    <row r="124" spans="1:11" ht="13" hidden="1" x14ac:dyDescent="0.3">
      <c r="A124" s="206" t="s">
        <v>156</v>
      </c>
      <c r="B124" s="26" t="s">
        <v>249</v>
      </c>
      <c r="C124" s="26" t="s">
        <v>168</v>
      </c>
      <c r="D124" s="26" t="str">
        <f t="shared" si="2"/>
        <v>CurrentCSE Day Care 1 to 1 supportReal Life Options</v>
      </c>
      <c r="E124" s="166">
        <v>23.3</v>
      </c>
      <c r="F124" s="138">
        <v>24</v>
      </c>
      <c r="G124" s="26" t="str">
        <f t="shared" si="3"/>
        <v>CurrentCSE Day Care 1 to 1 supportReal Life OptionsSleep-in</v>
      </c>
      <c r="H124" s="139">
        <v>0</v>
      </c>
      <c r="I124" s="139">
        <v>0</v>
      </c>
      <c r="J124" s="1" t="s">
        <v>181</v>
      </c>
      <c r="K124" s="206" t="s">
        <v>251</v>
      </c>
    </row>
    <row r="125" spans="1:11" ht="13" hidden="1" x14ac:dyDescent="0.3">
      <c r="A125" s="26" t="s">
        <v>156</v>
      </c>
      <c r="B125" s="26" t="s">
        <v>249</v>
      </c>
      <c r="C125" s="26" t="s">
        <v>329</v>
      </c>
      <c r="D125" s="26" t="str">
        <f t="shared" si="2"/>
        <v xml:space="preserve">CurrentCSE Day Care 1 to 1 supportRoselea Care Homes (CSE) </v>
      </c>
      <c r="E125" s="176">
        <v>23.3</v>
      </c>
      <c r="F125" s="138">
        <v>24</v>
      </c>
      <c r="G125" s="26" t="str">
        <f t="shared" si="3"/>
        <v>CurrentCSE Day Care 1 to 1 supportRoselea Care Homes (CSE) Sleep-in</v>
      </c>
      <c r="H125" s="139">
        <v>0</v>
      </c>
      <c r="I125" s="139">
        <v>0</v>
      </c>
      <c r="J125" s="1" t="s">
        <v>181</v>
      </c>
      <c r="K125" s="26" t="s">
        <v>251</v>
      </c>
    </row>
    <row r="126" spans="1:11" ht="13" hidden="1" x14ac:dyDescent="0.3">
      <c r="A126" s="26" t="s">
        <v>156</v>
      </c>
      <c r="B126" s="26" t="s">
        <v>249</v>
      </c>
      <c r="C126" s="26" t="s">
        <v>119</v>
      </c>
      <c r="D126" s="26" t="str">
        <f t="shared" si="2"/>
        <v>CurrentCSE Day Care 1 to 1 supportSpace Inclusive</v>
      </c>
      <c r="E126" s="27">
        <v>23.3</v>
      </c>
      <c r="F126" s="138">
        <v>24</v>
      </c>
      <c r="G126" s="26" t="str">
        <f t="shared" si="3"/>
        <v>CurrentCSE Day Care 1 to 1 supportSpace InclusiveSleep-in</v>
      </c>
      <c r="H126" s="139">
        <v>0</v>
      </c>
      <c r="I126" s="139">
        <v>0</v>
      </c>
      <c r="J126" s="1" t="s">
        <v>181</v>
      </c>
      <c r="K126" s="26" t="s">
        <v>251</v>
      </c>
    </row>
    <row r="127" spans="1:11" ht="14.5" hidden="1" x14ac:dyDescent="0.35">
      <c r="A127" s="206" t="s">
        <v>156</v>
      </c>
      <c r="B127" s="26" t="s">
        <v>249</v>
      </c>
      <c r="C127" s="26" t="s">
        <v>30</v>
      </c>
      <c r="D127" s="26" t="str">
        <f t="shared" si="2"/>
        <v>CurrentCSE Day Care 1 to 1 supportSun Healthcare</v>
      </c>
      <c r="E127" s="27">
        <v>23.3</v>
      </c>
      <c r="F127" s="141">
        <v>24</v>
      </c>
      <c r="G127" s="26" t="str">
        <f t="shared" si="3"/>
        <v>CurrentCSE Day Care 1 to 1 supportSun HealthcareSleep-in</v>
      </c>
      <c r="H127" s="139">
        <v>0</v>
      </c>
      <c r="I127" s="139">
        <v>0</v>
      </c>
      <c r="J127" s="1" t="s">
        <v>181</v>
      </c>
      <c r="K127" s="206" t="s">
        <v>251</v>
      </c>
    </row>
    <row r="128" spans="1:11" ht="13" hidden="1" x14ac:dyDescent="0.3">
      <c r="A128" s="206" t="s">
        <v>156</v>
      </c>
      <c r="B128" s="26" t="s">
        <v>249</v>
      </c>
      <c r="C128" s="26" t="s">
        <v>16</v>
      </c>
      <c r="D128" s="26" t="str">
        <f t="shared" si="2"/>
        <v>CurrentCSE Day Care 1 to 1 supportThera</v>
      </c>
      <c r="E128" s="166">
        <v>23.3</v>
      </c>
      <c r="F128" s="138">
        <v>24</v>
      </c>
      <c r="G128" s="26" t="str">
        <f t="shared" si="3"/>
        <v>CurrentCSE Day Care 1 to 1 supportTheraSleep-in</v>
      </c>
      <c r="H128" s="139">
        <v>0</v>
      </c>
      <c r="I128" s="139">
        <v>0</v>
      </c>
      <c r="J128" s="1" t="s">
        <v>181</v>
      </c>
      <c r="K128" s="206" t="s">
        <v>251</v>
      </c>
    </row>
    <row r="129" spans="1:11" ht="14.5" hidden="1" x14ac:dyDescent="0.35">
      <c r="A129" s="206" t="s">
        <v>156</v>
      </c>
      <c r="B129" s="26" t="s">
        <v>249</v>
      </c>
      <c r="C129" s="26" t="s">
        <v>17</v>
      </c>
      <c r="D129" s="26" t="str">
        <f t="shared" si="2"/>
        <v>CurrentCSE Day Care 1 to 1 supportUnited Response</v>
      </c>
      <c r="E129" s="27">
        <v>23.3</v>
      </c>
      <c r="F129" s="141">
        <v>24</v>
      </c>
      <c r="G129" s="26" t="str">
        <f t="shared" si="3"/>
        <v>CurrentCSE Day Care 1 to 1 supportUnited ResponseSleep-in</v>
      </c>
      <c r="H129" s="139">
        <v>0</v>
      </c>
      <c r="I129" s="139">
        <v>0</v>
      </c>
      <c r="J129" s="1" t="s">
        <v>181</v>
      </c>
      <c r="K129" s="206" t="s">
        <v>251</v>
      </c>
    </row>
    <row r="130" spans="1:11" ht="14.5" hidden="1" x14ac:dyDescent="0.35">
      <c r="A130" s="206" t="s">
        <v>156</v>
      </c>
      <c r="B130" s="26" t="s">
        <v>249</v>
      </c>
      <c r="C130" s="26" t="s">
        <v>18</v>
      </c>
      <c r="D130" s="26" t="str">
        <f t="shared" si="2"/>
        <v>CurrentCSE Day Care 1 to 1 supportVoyage</v>
      </c>
      <c r="E130" s="27">
        <v>23.3</v>
      </c>
      <c r="F130" s="141">
        <v>24</v>
      </c>
      <c r="G130" s="26" t="str">
        <f t="shared" si="3"/>
        <v>CurrentCSE Day Care 1 to 1 supportVoyageSleep-in</v>
      </c>
      <c r="H130" s="139">
        <v>0</v>
      </c>
      <c r="I130" s="139">
        <v>0</v>
      </c>
      <c r="J130" s="1" t="s">
        <v>181</v>
      </c>
      <c r="K130" s="206" t="s">
        <v>251</v>
      </c>
    </row>
    <row r="131" spans="1:11" ht="15" hidden="1" thickBot="1" x14ac:dyDescent="0.4">
      <c r="A131" s="177" t="s">
        <v>156</v>
      </c>
      <c r="B131" s="177" t="s">
        <v>249</v>
      </c>
      <c r="C131" s="177" t="s">
        <v>120</v>
      </c>
      <c r="D131" s="177" t="str">
        <f t="shared" ref="D131:D194" si="4">A131&amp;B131&amp;C131</f>
        <v>CurrentCSE Day Care 1 to 1 supportWellgate Support Ltd</v>
      </c>
      <c r="E131" s="178">
        <v>23.3</v>
      </c>
      <c r="F131" s="179">
        <v>24</v>
      </c>
      <c r="G131" s="177" t="str">
        <f t="shared" ref="G131:G194" si="5">A131&amp;B131&amp;C131&amp;"Sleep-in"</f>
        <v>CurrentCSE Day Care 1 to 1 supportWellgate Support LtdSleep-in</v>
      </c>
      <c r="H131" s="180">
        <v>0</v>
      </c>
      <c r="I131" s="180">
        <v>0</v>
      </c>
      <c r="J131" s="261" t="s">
        <v>181</v>
      </c>
      <c r="K131" s="177" t="s">
        <v>251</v>
      </c>
    </row>
    <row r="132" spans="1:11" ht="14.5" hidden="1" x14ac:dyDescent="0.35">
      <c r="A132" s="196" t="s">
        <v>248</v>
      </c>
      <c r="B132" s="154" t="s">
        <v>349</v>
      </c>
      <c r="C132" s="154" t="s">
        <v>182</v>
      </c>
      <c r="D132" s="154" t="str">
        <f t="shared" si="4"/>
        <v>AfterSupported Living WITHOUT accommodationAcclaim Care Agency Ltd</v>
      </c>
      <c r="E132" s="155">
        <v>23.3</v>
      </c>
      <c r="F132" s="174">
        <v>24</v>
      </c>
      <c r="G132" s="154" t="str">
        <f t="shared" si="5"/>
        <v>AfterSupported Living WITHOUT accommodationAcclaim Care Agency LtdSleep-in</v>
      </c>
      <c r="H132" s="136">
        <v>124.43</v>
      </c>
      <c r="I132" s="136">
        <v>871.01</v>
      </c>
      <c r="J132" s="185" t="s">
        <v>183</v>
      </c>
      <c r="K132" s="196" t="s">
        <v>252</v>
      </c>
    </row>
    <row r="133" spans="1:11" ht="14.5" hidden="1" x14ac:dyDescent="0.35">
      <c r="A133" s="197" t="s">
        <v>248</v>
      </c>
      <c r="B133" s="12" t="s">
        <v>349</v>
      </c>
      <c r="C133" s="12" t="s">
        <v>184</v>
      </c>
      <c r="D133" s="12" t="str">
        <f t="shared" si="4"/>
        <v>AfterSupported Living WITHOUT accommodationAchieve Together Ltd</v>
      </c>
      <c r="E133" s="13">
        <v>23.3</v>
      </c>
      <c r="F133" s="141">
        <v>24</v>
      </c>
      <c r="G133" s="12" t="str">
        <f t="shared" si="5"/>
        <v>AfterSupported Living WITHOUT accommodationAchieve Together LtdSleep-in</v>
      </c>
      <c r="H133" s="139">
        <v>124.43</v>
      </c>
      <c r="I133" s="139">
        <v>871.01</v>
      </c>
      <c r="J133" s="140" t="s">
        <v>183</v>
      </c>
      <c r="K133" s="197" t="s">
        <v>252</v>
      </c>
    </row>
    <row r="134" spans="1:11" ht="14.5" hidden="1" x14ac:dyDescent="0.35">
      <c r="A134" s="197" t="s">
        <v>248</v>
      </c>
      <c r="B134" s="12" t="s">
        <v>349</v>
      </c>
      <c r="C134" s="12" t="s">
        <v>185</v>
      </c>
      <c r="D134" s="12" t="str">
        <f t="shared" si="4"/>
        <v>AfterSupported Living WITHOUT accommodationAll 4 Health Ltd</v>
      </c>
      <c r="E134" s="13">
        <v>23.3</v>
      </c>
      <c r="F134" s="141">
        <v>24</v>
      </c>
      <c r="G134" s="12" t="str">
        <f t="shared" si="5"/>
        <v>AfterSupported Living WITHOUT accommodationAll 4 Health LtdSleep-in</v>
      </c>
      <c r="H134" s="139">
        <v>124.43</v>
      </c>
      <c r="I134" s="139">
        <v>871.01</v>
      </c>
      <c r="J134" s="140" t="s">
        <v>183</v>
      </c>
      <c r="K134" s="197" t="s">
        <v>252</v>
      </c>
    </row>
    <row r="135" spans="1:11" ht="14.5" hidden="1" x14ac:dyDescent="0.35">
      <c r="A135" s="197" t="s">
        <v>248</v>
      </c>
      <c r="B135" s="12" t="s">
        <v>349</v>
      </c>
      <c r="C135" s="12" t="s">
        <v>186</v>
      </c>
      <c r="D135" s="12" t="str">
        <f t="shared" si="4"/>
        <v>AfterSupported Living WITHOUT accommodationAlpha Health &amp; Social Care Services Ltd</v>
      </c>
      <c r="E135" s="13">
        <v>23.3</v>
      </c>
      <c r="F135" s="141">
        <v>24</v>
      </c>
      <c r="G135" s="12" t="str">
        <f t="shared" si="5"/>
        <v>AfterSupported Living WITHOUT accommodationAlpha Health &amp; Social Care Services LtdSleep-in</v>
      </c>
      <c r="H135" s="139">
        <v>124.43</v>
      </c>
      <c r="I135" s="139">
        <v>871.01</v>
      </c>
      <c r="J135" s="140" t="s">
        <v>183</v>
      </c>
      <c r="K135" s="197" t="s">
        <v>252</v>
      </c>
    </row>
    <row r="136" spans="1:11" ht="14.5" hidden="1" x14ac:dyDescent="0.35">
      <c r="A136" s="197" t="s">
        <v>248</v>
      </c>
      <c r="B136" s="12" t="s">
        <v>349</v>
      </c>
      <c r="C136" s="12" t="s">
        <v>187</v>
      </c>
      <c r="D136" s="12" t="str">
        <f t="shared" si="4"/>
        <v>AfterSupported Living WITHOUT accommodationAnt and Bex Lodgings Ltd</v>
      </c>
      <c r="E136" s="13">
        <v>23.3</v>
      </c>
      <c r="F136" s="141">
        <v>24</v>
      </c>
      <c r="G136" s="12" t="str">
        <f t="shared" si="5"/>
        <v>AfterSupported Living WITHOUT accommodationAnt and Bex Lodgings LtdSleep-in</v>
      </c>
      <c r="H136" s="139">
        <v>124.43</v>
      </c>
      <c r="I136" s="139">
        <v>871.01</v>
      </c>
      <c r="J136" s="140" t="s">
        <v>183</v>
      </c>
      <c r="K136" s="197" t="s">
        <v>252</v>
      </c>
    </row>
    <row r="137" spans="1:11" ht="14.5" hidden="1" x14ac:dyDescent="0.35">
      <c r="A137" s="268" t="s">
        <v>248</v>
      </c>
      <c r="B137" s="269" t="s">
        <v>349</v>
      </c>
      <c r="C137" s="269" t="s">
        <v>332</v>
      </c>
      <c r="D137" s="269" t="str">
        <f t="shared" si="4"/>
        <v>AfterSupported Living WITHOUT accommodationAOC Homecare (t/a Angel Oak Care)</v>
      </c>
      <c r="E137" s="270">
        <v>23.3</v>
      </c>
      <c r="F137" s="270">
        <v>24</v>
      </c>
      <c r="G137" s="269" t="str">
        <f t="shared" si="5"/>
        <v>AfterSupported Living WITHOUT accommodationAOC Homecare (t/a Angel Oak Care)Sleep-in</v>
      </c>
      <c r="H137" s="270">
        <v>124.43</v>
      </c>
      <c r="I137" s="270">
        <v>871.01</v>
      </c>
      <c r="J137" s="271" t="s">
        <v>333</v>
      </c>
      <c r="K137" s="197" t="s">
        <v>252</v>
      </c>
    </row>
    <row r="138" spans="1:11" ht="14.5" hidden="1" x14ac:dyDescent="0.35">
      <c r="A138" s="197" t="s">
        <v>248</v>
      </c>
      <c r="B138" s="12" t="s">
        <v>349</v>
      </c>
      <c r="C138" s="12" t="s">
        <v>188</v>
      </c>
      <c r="D138" s="12" t="str">
        <f t="shared" si="4"/>
        <v>AfterSupported Living WITHOUT accommodationArchangel Enterprises Ltd</v>
      </c>
      <c r="E138" s="13">
        <v>23.3</v>
      </c>
      <c r="F138" s="141">
        <v>24</v>
      </c>
      <c r="G138" s="12" t="str">
        <f t="shared" si="5"/>
        <v>AfterSupported Living WITHOUT accommodationArchangel Enterprises LtdSleep-in</v>
      </c>
      <c r="H138" s="139">
        <v>124.43</v>
      </c>
      <c r="I138" s="139">
        <v>871.01</v>
      </c>
      <c r="J138" s="140" t="s">
        <v>183</v>
      </c>
      <c r="K138" s="197" t="s">
        <v>252</v>
      </c>
    </row>
    <row r="139" spans="1:11" ht="14.5" hidden="1" x14ac:dyDescent="0.35">
      <c r="A139" s="197" t="s">
        <v>248</v>
      </c>
      <c r="B139" s="12" t="s">
        <v>349</v>
      </c>
      <c r="C139" s="12" t="s">
        <v>163</v>
      </c>
      <c r="D139" s="12" t="str">
        <f t="shared" si="4"/>
        <v>AfterSupported Living WITHOUT accommodationAspirations Care Ltd</v>
      </c>
      <c r="E139" s="13">
        <v>23.3</v>
      </c>
      <c r="F139" s="141">
        <v>24</v>
      </c>
      <c r="G139" s="12" t="str">
        <f t="shared" si="5"/>
        <v>AfterSupported Living WITHOUT accommodationAspirations Care LtdSleep-in</v>
      </c>
      <c r="H139" s="139">
        <v>124.43</v>
      </c>
      <c r="I139" s="139">
        <v>871.01</v>
      </c>
      <c r="J139" s="140" t="s">
        <v>183</v>
      </c>
      <c r="K139" s="197" t="s">
        <v>252</v>
      </c>
    </row>
    <row r="140" spans="1:11" ht="14.5" hidden="1" x14ac:dyDescent="0.35">
      <c r="A140" s="197" t="s">
        <v>248</v>
      </c>
      <c r="B140" s="12" t="s">
        <v>349</v>
      </c>
      <c r="C140" s="12" t="s">
        <v>189</v>
      </c>
      <c r="D140" s="12" t="str">
        <f t="shared" si="4"/>
        <v>AfterSupported Living WITHOUT accommodationAutism East Midlands</v>
      </c>
      <c r="E140" s="13">
        <v>23.3</v>
      </c>
      <c r="F140" s="141">
        <v>24</v>
      </c>
      <c r="G140" s="12" t="str">
        <f t="shared" si="5"/>
        <v>AfterSupported Living WITHOUT accommodationAutism East MidlandsSleep-in</v>
      </c>
      <c r="H140" s="139">
        <v>124.43</v>
      </c>
      <c r="I140" s="139">
        <v>871.01</v>
      </c>
      <c r="J140" s="140" t="s">
        <v>183</v>
      </c>
      <c r="K140" s="197" t="s">
        <v>252</v>
      </c>
    </row>
    <row r="141" spans="1:11" ht="14.5" hidden="1" x14ac:dyDescent="0.35">
      <c r="A141" s="197" t="s">
        <v>248</v>
      </c>
      <c r="B141" s="12" t="s">
        <v>349</v>
      </c>
      <c r="C141" s="12" t="s">
        <v>190</v>
      </c>
      <c r="D141" s="12" t="str">
        <f t="shared" si="4"/>
        <v>AfterSupported Living WITHOUT accommodationAxis Recruitment Ltd</v>
      </c>
      <c r="E141" s="13">
        <v>23.3</v>
      </c>
      <c r="F141" s="141">
        <v>24</v>
      </c>
      <c r="G141" s="12" t="str">
        <f t="shared" si="5"/>
        <v>AfterSupported Living WITHOUT accommodationAxis Recruitment LtdSleep-in</v>
      </c>
      <c r="H141" s="139">
        <v>124.43</v>
      </c>
      <c r="I141" s="139">
        <v>871.01</v>
      </c>
      <c r="J141" s="140" t="s">
        <v>183</v>
      </c>
      <c r="K141" s="197" t="s">
        <v>252</v>
      </c>
    </row>
    <row r="142" spans="1:11" ht="14.5" hidden="1" x14ac:dyDescent="0.35">
      <c r="A142" s="197" t="s">
        <v>248</v>
      </c>
      <c r="B142" s="12" t="s">
        <v>349</v>
      </c>
      <c r="C142" s="12" t="s">
        <v>191</v>
      </c>
      <c r="D142" s="12" t="str">
        <f t="shared" si="4"/>
        <v>AfterSupported Living WITHOUT accommodationBreak Barriers (Nottingham) Ltd</v>
      </c>
      <c r="E142" s="13">
        <v>23.3</v>
      </c>
      <c r="F142" s="141">
        <v>24</v>
      </c>
      <c r="G142" s="12" t="str">
        <f t="shared" si="5"/>
        <v>AfterSupported Living WITHOUT accommodationBreak Barriers (Nottingham) LtdSleep-in</v>
      </c>
      <c r="H142" s="139">
        <v>124.43</v>
      </c>
      <c r="I142" s="139">
        <v>871.01</v>
      </c>
      <c r="J142" s="140" t="s">
        <v>183</v>
      </c>
      <c r="K142" s="197" t="s">
        <v>252</v>
      </c>
    </row>
    <row r="143" spans="1:11" ht="14.5" x14ac:dyDescent="0.35">
      <c r="A143" s="197" t="s">
        <v>248</v>
      </c>
      <c r="B143" s="12" t="s">
        <v>349</v>
      </c>
      <c r="C143" s="12" t="s">
        <v>11</v>
      </c>
      <c r="D143" s="12" t="str">
        <f t="shared" si="4"/>
        <v>AfterSupported Living WITHOUT accommodationCIC</v>
      </c>
      <c r="E143" s="13">
        <v>23.3</v>
      </c>
      <c r="F143" s="141">
        <v>24</v>
      </c>
      <c r="G143" s="12" t="str">
        <f t="shared" si="5"/>
        <v>AfterSupported Living WITHOUT accommodationCICSleep-in</v>
      </c>
      <c r="H143" s="139">
        <v>124.43</v>
      </c>
      <c r="I143" s="139">
        <v>871.01</v>
      </c>
      <c r="J143" s="140" t="s">
        <v>183</v>
      </c>
      <c r="K143" s="197" t="s">
        <v>252</v>
      </c>
    </row>
    <row r="144" spans="1:11" ht="14.5" hidden="1" x14ac:dyDescent="0.35">
      <c r="A144" s="197" t="s">
        <v>248</v>
      </c>
      <c r="B144" s="12" t="s">
        <v>349</v>
      </c>
      <c r="C144" s="12" t="s">
        <v>194</v>
      </c>
      <c r="D144" s="12" t="str">
        <f t="shared" si="4"/>
        <v>AfterSupported Living WITHOUT accommodationCollens Healthcare Ltd</v>
      </c>
      <c r="E144" s="13">
        <v>23.3</v>
      </c>
      <c r="F144" s="141">
        <v>24</v>
      </c>
      <c r="G144" s="12" t="str">
        <f t="shared" si="5"/>
        <v>AfterSupported Living WITHOUT accommodationCollens Healthcare LtdSleep-in</v>
      </c>
      <c r="H144" s="139">
        <v>124.43</v>
      </c>
      <c r="I144" s="139">
        <v>871.01</v>
      </c>
      <c r="J144" s="140" t="s">
        <v>183</v>
      </c>
      <c r="K144" s="197" t="s">
        <v>252</v>
      </c>
    </row>
    <row r="145" spans="1:11" ht="14.5" hidden="1" x14ac:dyDescent="0.35">
      <c r="A145" s="197" t="s">
        <v>248</v>
      </c>
      <c r="B145" s="12" t="s">
        <v>349</v>
      </c>
      <c r="C145" s="12" t="s">
        <v>195</v>
      </c>
      <c r="D145" s="12" t="str">
        <f t="shared" si="4"/>
        <v>AfterSupported Living WITHOUT accommodationCommit2Care Services Ltd</v>
      </c>
      <c r="E145" s="13">
        <v>23.3</v>
      </c>
      <c r="F145" s="141">
        <v>24</v>
      </c>
      <c r="G145" s="12" t="str">
        <f t="shared" si="5"/>
        <v>AfterSupported Living WITHOUT accommodationCommit2Care Services LtdSleep-in</v>
      </c>
      <c r="H145" s="139">
        <v>124.43</v>
      </c>
      <c r="I145" s="139">
        <v>871.01</v>
      </c>
      <c r="J145" s="140" t="s">
        <v>183</v>
      </c>
      <c r="K145" s="197" t="s">
        <v>252</v>
      </c>
    </row>
    <row r="146" spans="1:11" ht="14.5" hidden="1" x14ac:dyDescent="0.35">
      <c r="A146" s="197" t="s">
        <v>248</v>
      </c>
      <c r="B146" s="12" t="s">
        <v>349</v>
      </c>
      <c r="C146" s="12" t="s">
        <v>196</v>
      </c>
      <c r="D146" s="12" t="str">
        <f t="shared" si="4"/>
        <v>AfterSupported Living WITHOUT accommodationDepax Ltd</v>
      </c>
      <c r="E146" s="13">
        <v>23.3</v>
      </c>
      <c r="F146" s="141">
        <v>24</v>
      </c>
      <c r="G146" s="12" t="str">
        <f t="shared" si="5"/>
        <v>AfterSupported Living WITHOUT accommodationDepax LtdSleep-in</v>
      </c>
      <c r="H146" s="139">
        <v>124.43</v>
      </c>
      <c r="I146" s="139">
        <v>871.01</v>
      </c>
      <c r="J146" s="140" t="s">
        <v>183</v>
      </c>
      <c r="K146" s="197" t="s">
        <v>252</v>
      </c>
    </row>
    <row r="147" spans="1:11" ht="14.5" hidden="1" x14ac:dyDescent="0.35">
      <c r="A147" s="197" t="s">
        <v>248</v>
      </c>
      <c r="B147" s="12" t="s">
        <v>349</v>
      </c>
      <c r="C147" s="12" t="s">
        <v>197</v>
      </c>
      <c r="D147" s="12" t="str">
        <f t="shared" si="4"/>
        <v>AfterSupported Living WITHOUT accommodationDesla Care Agency Ltd</v>
      </c>
      <c r="E147" s="13">
        <v>23.3</v>
      </c>
      <c r="F147" s="141">
        <v>24</v>
      </c>
      <c r="G147" s="12" t="str">
        <f t="shared" si="5"/>
        <v>AfterSupported Living WITHOUT accommodationDesla Care Agency LtdSleep-in</v>
      </c>
      <c r="H147" s="139">
        <v>124.43</v>
      </c>
      <c r="I147" s="139">
        <v>871.01</v>
      </c>
      <c r="J147" s="140" t="s">
        <v>183</v>
      </c>
      <c r="K147" s="197" t="s">
        <v>252</v>
      </c>
    </row>
    <row r="148" spans="1:11" ht="14.5" hidden="1" x14ac:dyDescent="0.35">
      <c r="A148" s="197" t="s">
        <v>248</v>
      </c>
      <c r="B148" s="12" t="s">
        <v>349</v>
      </c>
      <c r="C148" s="12" t="s">
        <v>166</v>
      </c>
      <c r="D148" s="12" t="str">
        <f t="shared" si="4"/>
        <v>AfterSupported Living WITHOUT accommodationEden Supported Living Ltd</v>
      </c>
      <c r="E148" s="13">
        <v>23.3</v>
      </c>
      <c r="F148" s="141">
        <v>24</v>
      </c>
      <c r="G148" s="12" t="str">
        <f t="shared" si="5"/>
        <v>AfterSupported Living WITHOUT accommodationEden Supported Living LtdSleep-in</v>
      </c>
      <c r="H148" s="139">
        <v>110.62</v>
      </c>
      <c r="I148" s="139">
        <v>774.32</v>
      </c>
      <c r="J148" s="140" t="s">
        <v>183</v>
      </c>
      <c r="K148" s="197" t="s">
        <v>252</v>
      </c>
    </row>
    <row r="149" spans="1:11" ht="14.5" hidden="1" x14ac:dyDescent="0.35">
      <c r="A149" s="197" t="s">
        <v>248</v>
      </c>
      <c r="B149" s="12" t="s">
        <v>349</v>
      </c>
      <c r="C149" s="12" t="s">
        <v>198</v>
      </c>
      <c r="D149" s="12" t="str">
        <f t="shared" si="4"/>
        <v>AfterSupported Living WITHOUT accommodationErrand Plus &amp; Personal Services Business</v>
      </c>
      <c r="E149" s="13">
        <v>23.3</v>
      </c>
      <c r="F149" s="141">
        <v>24</v>
      </c>
      <c r="G149" s="12" t="str">
        <f t="shared" si="5"/>
        <v>AfterSupported Living WITHOUT accommodationErrand Plus &amp; Personal Services BusinessSleep-in</v>
      </c>
      <c r="H149" s="139">
        <v>124.43</v>
      </c>
      <c r="I149" s="139">
        <v>871.01</v>
      </c>
      <c r="J149" s="140" t="s">
        <v>183</v>
      </c>
      <c r="K149" s="197" t="s">
        <v>252</v>
      </c>
    </row>
    <row r="150" spans="1:11" ht="14.5" hidden="1" x14ac:dyDescent="0.35">
      <c r="A150" s="197" t="s">
        <v>248</v>
      </c>
      <c r="B150" s="12" t="s">
        <v>349</v>
      </c>
      <c r="C150" s="12" t="s">
        <v>336</v>
      </c>
      <c r="D150" s="12" t="str">
        <f t="shared" si="4"/>
        <v xml:space="preserve">AfterSupported Living WITHOUT accommodationExceed Support Services </v>
      </c>
      <c r="E150" s="13">
        <v>23.3</v>
      </c>
      <c r="F150" s="141">
        <v>24</v>
      </c>
      <c r="G150" s="12" t="str">
        <f t="shared" si="5"/>
        <v>AfterSupported Living WITHOUT accommodationExceed Support Services Sleep-in</v>
      </c>
      <c r="H150" s="139">
        <v>124.43</v>
      </c>
      <c r="I150" s="139">
        <v>871.01</v>
      </c>
      <c r="J150" s="140" t="s">
        <v>183</v>
      </c>
      <c r="K150" s="197" t="s">
        <v>252</v>
      </c>
    </row>
    <row r="151" spans="1:11" ht="14.5" hidden="1" x14ac:dyDescent="0.35">
      <c r="A151" s="263" t="s">
        <v>248</v>
      </c>
      <c r="B151" s="264" t="s">
        <v>349</v>
      </c>
      <c r="C151" s="264" t="s">
        <v>337</v>
      </c>
      <c r="D151" s="264" t="str">
        <f t="shared" si="4"/>
        <v>AfterSupported Living WITHOUT accommodationFestygreat Divers Enterprise Ltd(t/a Festygreat Healthcare)</v>
      </c>
      <c r="E151" s="264">
        <v>23.3</v>
      </c>
      <c r="F151" s="265">
        <v>24</v>
      </c>
      <c r="G151" s="264" t="str">
        <f t="shared" si="5"/>
        <v>AfterSupported Living WITHOUT accommodationFestygreat Divers Enterprise Ltd(t/a Festygreat Healthcare)Sleep-in</v>
      </c>
      <c r="H151" s="277">
        <v>124.43</v>
      </c>
      <c r="I151" s="264">
        <v>871.01</v>
      </c>
      <c r="J151" s="272" t="s">
        <v>338</v>
      </c>
      <c r="K151" s="197" t="s">
        <v>252</v>
      </c>
    </row>
    <row r="152" spans="1:11" ht="14.5" hidden="1" customHeight="1" x14ac:dyDescent="0.3">
      <c r="A152" s="12" t="s">
        <v>248</v>
      </c>
      <c r="B152" s="12" t="s">
        <v>349</v>
      </c>
      <c r="C152" s="12" t="s">
        <v>12</v>
      </c>
      <c r="D152" s="12" t="str">
        <f t="shared" si="4"/>
        <v>AfterSupported Living WITHOUT accommodationFitzroy</v>
      </c>
      <c r="E152" s="156">
        <v>23.3</v>
      </c>
      <c r="F152" s="138">
        <v>24</v>
      </c>
      <c r="G152" s="12" t="str">
        <f t="shared" si="5"/>
        <v>AfterSupported Living WITHOUT accommodationFitzroySleep-in</v>
      </c>
      <c r="H152" s="139">
        <v>124.43</v>
      </c>
      <c r="I152" s="139">
        <v>871.01</v>
      </c>
      <c r="J152" s="1" t="s">
        <v>183</v>
      </c>
      <c r="K152" s="197" t="s">
        <v>252</v>
      </c>
    </row>
    <row r="153" spans="1:11" ht="13" hidden="1" customHeight="1" x14ac:dyDescent="0.35">
      <c r="A153" s="197" t="s">
        <v>248</v>
      </c>
      <c r="B153" s="12" t="s">
        <v>349</v>
      </c>
      <c r="C153" s="12" t="s">
        <v>63</v>
      </c>
      <c r="D153" s="12" t="str">
        <f t="shared" si="4"/>
        <v>AfterSupported Living WITHOUT accommodationFosse Healthcare (CSE)</v>
      </c>
      <c r="E153" s="13">
        <v>23.3</v>
      </c>
      <c r="F153" s="141">
        <v>24</v>
      </c>
      <c r="G153" s="12" t="str">
        <f t="shared" si="5"/>
        <v>AfterSupported Living WITHOUT accommodationFosse Healthcare (CSE)Sleep-in</v>
      </c>
      <c r="H153" s="139">
        <v>124.43</v>
      </c>
      <c r="I153" s="139">
        <v>871.01</v>
      </c>
      <c r="J153" s="140" t="s">
        <v>183</v>
      </c>
      <c r="K153" s="197" t="s">
        <v>252</v>
      </c>
    </row>
    <row r="154" spans="1:11" ht="14.5" hidden="1" x14ac:dyDescent="0.35">
      <c r="A154" s="197" t="s">
        <v>248</v>
      </c>
      <c r="B154" s="12" t="s">
        <v>349</v>
      </c>
      <c r="C154" s="12" t="s">
        <v>199</v>
      </c>
      <c r="D154" s="12" t="str">
        <f t="shared" si="4"/>
        <v>AfterSupported Living WITHOUT accommodationFredas Care Ltd</v>
      </c>
      <c r="E154" s="13">
        <v>23.3</v>
      </c>
      <c r="F154" s="141">
        <v>24</v>
      </c>
      <c r="G154" s="12" t="str">
        <f t="shared" si="5"/>
        <v>AfterSupported Living WITHOUT accommodationFredas Care LtdSleep-in</v>
      </c>
      <c r="H154" s="139">
        <v>124.43</v>
      </c>
      <c r="I154" s="139">
        <v>871.01</v>
      </c>
      <c r="J154" s="140" t="s">
        <v>183</v>
      </c>
      <c r="K154" s="197" t="s">
        <v>252</v>
      </c>
    </row>
    <row r="155" spans="1:11" ht="14.5" hidden="1" x14ac:dyDescent="0.35">
      <c r="A155" s="197" t="s">
        <v>248</v>
      </c>
      <c r="B155" s="12" t="s">
        <v>349</v>
      </c>
      <c r="C155" s="12" t="s">
        <v>280</v>
      </c>
      <c r="D155" s="12" t="str">
        <f t="shared" si="4"/>
        <v>AfterSupported Living WITHOUT accommodationFuture Home Care</v>
      </c>
      <c r="E155" s="13">
        <v>23.3</v>
      </c>
      <c r="F155" s="141">
        <v>24</v>
      </c>
      <c r="G155" s="12" t="str">
        <f t="shared" si="5"/>
        <v>AfterSupported Living WITHOUT accommodationFuture Home CareSleep-in</v>
      </c>
      <c r="H155" s="139">
        <v>124.43</v>
      </c>
      <c r="I155" s="139">
        <v>871.01</v>
      </c>
      <c r="J155" s="140" t="s">
        <v>183</v>
      </c>
      <c r="K155" s="197" t="s">
        <v>252</v>
      </c>
    </row>
    <row r="156" spans="1:11" ht="14.5" hidden="1" x14ac:dyDescent="0.35">
      <c r="A156" s="197" t="s">
        <v>248</v>
      </c>
      <c r="B156" s="12" t="s">
        <v>349</v>
      </c>
      <c r="C156" s="12" t="s">
        <v>200</v>
      </c>
      <c r="D156" s="12" t="str">
        <f t="shared" si="4"/>
        <v>AfterSupported Living WITHOUT accommodationGemini Exclusive Care</v>
      </c>
      <c r="E156" s="13">
        <v>23.3</v>
      </c>
      <c r="F156" s="141">
        <v>24</v>
      </c>
      <c r="G156" s="12" t="str">
        <f t="shared" si="5"/>
        <v>AfterSupported Living WITHOUT accommodationGemini Exclusive CareSleep-in</v>
      </c>
      <c r="H156" s="139">
        <v>124.43</v>
      </c>
      <c r="I156" s="139">
        <v>871.01</v>
      </c>
      <c r="J156" s="140" t="s">
        <v>183</v>
      </c>
      <c r="K156" s="197" t="s">
        <v>252</v>
      </c>
    </row>
    <row r="157" spans="1:11" ht="14.5" hidden="1" x14ac:dyDescent="0.35">
      <c r="A157" s="197" t="s">
        <v>248</v>
      </c>
      <c r="B157" s="12" t="s">
        <v>349</v>
      </c>
      <c r="C157" s="12" t="s">
        <v>201</v>
      </c>
      <c r="D157" s="12" t="str">
        <f t="shared" si="4"/>
        <v>AfterSupported Living WITHOUT accommodationGlobal Support &amp; Care Ltd</v>
      </c>
      <c r="E157" s="13">
        <v>23.3</v>
      </c>
      <c r="F157" s="141">
        <v>24</v>
      </c>
      <c r="G157" s="12" t="str">
        <f t="shared" si="5"/>
        <v>AfterSupported Living WITHOUT accommodationGlobal Support &amp; Care LtdSleep-in</v>
      </c>
      <c r="H157" s="139">
        <v>124.43</v>
      </c>
      <c r="I157" s="139">
        <v>871.01</v>
      </c>
      <c r="J157" s="140" t="s">
        <v>183</v>
      </c>
      <c r="K157" s="197" t="s">
        <v>252</v>
      </c>
    </row>
    <row r="158" spans="1:11" ht="14.5" hidden="1" x14ac:dyDescent="0.35">
      <c r="A158" s="197" t="s">
        <v>248</v>
      </c>
      <c r="B158" s="12" t="s">
        <v>349</v>
      </c>
      <c r="C158" s="12" t="s">
        <v>202</v>
      </c>
      <c r="D158" s="12" t="str">
        <f t="shared" si="4"/>
        <v>AfterSupported Living WITHOUT accommodationGP Homecare Ltd t/a Radis Community Care</v>
      </c>
      <c r="E158" s="13">
        <v>23.3</v>
      </c>
      <c r="F158" s="141">
        <v>24</v>
      </c>
      <c r="G158" s="12" t="str">
        <f t="shared" si="5"/>
        <v>AfterSupported Living WITHOUT accommodationGP Homecare Ltd t/a Radis Community CareSleep-in</v>
      </c>
      <c r="H158" s="139">
        <v>124.43</v>
      </c>
      <c r="I158" s="139">
        <v>871.01</v>
      </c>
      <c r="J158" s="140" t="s">
        <v>183</v>
      </c>
      <c r="K158" s="197" t="s">
        <v>252</v>
      </c>
    </row>
    <row r="159" spans="1:11" ht="14.5" hidden="1" x14ac:dyDescent="0.35">
      <c r="A159" s="197" t="s">
        <v>248</v>
      </c>
      <c r="B159" s="12" t="s">
        <v>349</v>
      </c>
      <c r="C159" s="12" t="s">
        <v>203</v>
      </c>
      <c r="D159" s="12" t="str">
        <f t="shared" si="4"/>
        <v>AfterSupported Living WITHOUT accommodationGSS Healthcare Ltd</v>
      </c>
      <c r="E159" s="13">
        <v>23.3</v>
      </c>
      <c r="F159" s="141">
        <v>24</v>
      </c>
      <c r="G159" s="12" t="str">
        <f t="shared" si="5"/>
        <v>AfterSupported Living WITHOUT accommodationGSS Healthcare LtdSleep-in</v>
      </c>
      <c r="H159" s="139">
        <v>124.43</v>
      </c>
      <c r="I159" s="139">
        <v>871.01</v>
      </c>
      <c r="J159" s="140" t="s">
        <v>183</v>
      </c>
      <c r="K159" s="197" t="s">
        <v>252</v>
      </c>
    </row>
    <row r="160" spans="1:11" ht="14.5" hidden="1" x14ac:dyDescent="0.35">
      <c r="A160" s="197" t="s">
        <v>248</v>
      </c>
      <c r="B160" s="12" t="s">
        <v>349</v>
      </c>
      <c r="C160" s="12" t="s">
        <v>204</v>
      </c>
      <c r="D160" s="12" t="str">
        <f t="shared" si="4"/>
        <v>AfterSupported Living WITHOUT accommodationHearts at Home Homecare Ltd</v>
      </c>
      <c r="E160" s="13">
        <v>23.3</v>
      </c>
      <c r="F160" s="141">
        <v>24</v>
      </c>
      <c r="G160" s="12" t="str">
        <f t="shared" si="5"/>
        <v>AfterSupported Living WITHOUT accommodationHearts at Home Homecare LtdSleep-in</v>
      </c>
      <c r="H160" s="139">
        <v>124.43</v>
      </c>
      <c r="I160" s="139">
        <v>871.01</v>
      </c>
      <c r="J160" s="140" t="s">
        <v>183</v>
      </c>
      <c r="K160" s="197" t="s">
        <v>252</v>
      </c>
    </row>
    <row r="161" spans="1:11" ht="14.5" hidden="1" x14ac:dyDescent="0.35">
      <c r="A161" s="197" t="s">
        <v>248</v>
      </c>
      <c r="B161" s="12" t="s">
        <v>349</v>
      </c>
      <c r="C161" s="12" t="s">
        <v>205</v>
      </c>
      <c r="D161" s="12" t="str">
        <f t="shared" si="4"/>
        <v>AfterSupported Living WITHOUT accommodationHeathcotes (BDT)</v>
      </c>
      <c r="E161" s="13">
        <v>23.3</v>
      </c>
      <c r="F161" s="141">
        <v>24</v>
      </c>
      <c r="G161" s="12" t="str">
        <f t="shared" si="5"/>
        <v>AfterSupported Living WITHOUT accommodationHeathcotes (BDT)Sleep-in</v>
      </c>
      <c r="H161" s="139">
        <v>124.43</v>
      </c>
      <c r="I161" s="139">
        <v>871.01</v>
      </c>
      <c r="J161" s="140" t="s">
        <v>183</v>
      </c>
      <c r="K161" s="197" t="s">
        <v>252</v>
      </c>
    </row>
    <row r="162" spans="1:11" ht="14.5" hidden="1" x14ac:dyDescent="0.35">
      <c r="A162" s="197" t="s">
        <v>248</v>
      </c>
      <c r="B162" s="12" t="s">
        <v>349</v>
      </c>
      <c r="C162" s="12" t="s">
        <v>206</v>
      </c>
      <c r="D162" s="12" t="str">
        <f t="shared" si="4"/>
        <v>AfterSupported Living WITHOUT accommodationJes Care Services Ltd</v>
      </c>
      <c r="E162" s="13">
        <v>23.3</v>
      </c>
      <c r="F162" s="141">
        <v>24</v>
      </c>
      <c r="G162" s="12" t="str">
        <f t="shared" si="5"/>
        <v>AfterSupported Living WITHOUT accommodationJes Care Services LtdSleep-in</v>
      </c>
      <c r="H162" s="139">
        <v>124.43</v>
      </c>
      <c r="I162" s="139">
        <v>871.01</v>
      </c>
      <c r="J162" s="140" t="s">
        <v>183</v>
      </c>
      <c r="K162" s="197" t="s">
        <v>252</v>
      </c>
    </row>
    <row r="163" spans="1:11" ht="14.5" hidden="1" x14ac:dyDescent="0.35">
      <c r="A163" s="197" t="s">
        <v>248</v>
      </c>
      <c r="B163" s="12" t="s">
        <v>349</v>
      </c>
      <c r="C163" s="12" t="s">
        <v>60</v>
      </c>
      <c r="D163" s="12" t="str">
        <f t="shared" si="4"/>
        <v>AfterSupported Living WITHOUT accommodationJRH Support (Nottingham)</v>
      </c>
      <c r="E163" s="13">
        <v>23.3</v>
      </c>
      <c r="F163" s="141">
        <v>24</v>
      </c>
      <c r="G163" s="12" t="str">
        <f t="shared" si="5"/>
        <v>AfterSupported Living WITHOUT accommodationJRH Support (Nottingham)Sleep-in</v>
      </c>
      <c r="H163" s="139">
        <v>124.43</v>
      </c>
      <c r="I163" s="139">
        <v>871.01</v>
      </c>
      <c r="J163" s="140" t="s">
        <v>183</v>
      </c>
      <c r="K163" s="197" t="s">
        <v>252</v>
      </c>
    </row>
    <row r="164" spans="1:11" ht="14.5" hidden="1" x14ac:dyDescent="0.35">
      <c r="A164" s="197" t="s">
        <v>248</v>
      </c>
      <c r="B164" s="12" t="s">
        <v>349</v>
      </c>
      <c r="C164" s="12" t="s">
        <v>207</v>
      </c>
      <c r="D164" s="12" t="str">
        <f t="shared" si="4"/>
        <v>AfterSupported Living WITHOUT accommodationKeys PCE Ltd</v>
      </c>
      <c r="E164" s="13">
        <v>23.3</v>
      </c>
      <c r="F164" s="141">
        <v>24</v>
      </c>
      <c r="G164" s="12" t="str">
        <f t="shared" si="5"/>
        <v>AfterSupported Living WITHOUT accommodationKeys PCE LtdSleep-in</v>
      </c>
      <c r="H164" s="139">
        <v>124.43</v>
      </c>
      <c r="I164" s="139">
        <v>871.01</v>
      </c>
      <c r="J164" s="140" t="s">
        <v>183</v>
      </c>
      <c r="K164" s="197" t="s">
        <v>252</v>
      </c>
    </row>
    <row r="165" spans="1:11" ht="14.5" hidden="1" x14ac:dyDescent="0.35">
      <c r="A165" s="197" t="s">
        <v>248</v>
      </c>
      <c r="B165" s="12" t="s">
        <v>349</v>
      </c>
      <c r="C165" s="12" t="s">
        <v>208</v>
      </c>
      <c r="D165" s="12" t="str">
        <f t="shared" si="4"/>
        <v>AfterSupported Living WITHOUT accommodationKingswell Support Service Ltd</v>
      </c>
      <c r="E165" s="13">
        <v>23.3</v>
      </c>
      <c r="F165" s="141">
        <v>24</v>
      </c>
      <c r="G165" s="12" t="str">
        <f t="shared" si="5"/>
        <v>AfterSupported Living WITHOUT accommodationKingswell Support Service LtdSleep-in</v>
      </c>
      <c r="H165" s="139">
        <v>124.43</v>
      </c>
      <c r="I165" s="139">
        <v>871.01</v>
      </c>
      <c r="J165" s="140" t="s">
        <v>183</v>
      </c>
      <c r="K165" s="197" t="s">
        <v>252</v>
      </c>
    </row>
    <row r="166" spans="1:11" ht="14.5" hidden="1" x14ac:dyDescent="0.35">
      <c r="A166" s="197" t="s">
        <v>248</v>
      </c>
      <c r="B166" s="12" t="s">
        <v>349</v>
      </c>
      <c r="C166" s="12" t="s">
        <v>209</v>
      </c>
      <c r="D166" s="12" t="str">
        <f t="shared" si="4"/>
        <v>AfterSupported Living WITHOUT accommodationKome Care (Management)</v>
      </c>
      <c r="E166" s="13">
        <v>23.3</v>
      </c>
      <c r="F166" s="141">
        <v>24</v>
      </c>
      <c r="G166" s="12" t="str">
        <f t="shared" si="5"/>
        <v>AfterSupported Living WITHOUT accommodationKome Care (Management)Sleep-in</v>
      </c>
      <c r="H166" s="139">
        <v>124.43</v>
      </c>
      <c r="I166" s="139">
        <v>871.01</v>
      </c>
      <c r="J166" s="140" t="s">
        <v>183</v>
      </c>
      <c r="K166" s="197" t="s">
        <v>252</v>
      </c>
    </row>
    <row r="167" spans="1:11" ht="14.5" hidden="1" x14ac:dyDescent="0.35">
      <c r="A167" s="197" t="s">
        <v>248</v>
      </c>
      <c r="B167" s="12" t="s">
        <v>349</v>
      </c>
      <c r="C167" s="12" t="s">
        <v>14</v>
      </c>
      <c r="D167" s="12" t="str">
        <f t="shared" si="4"/>
        <v>AfterSupported Living WITHOUT accommodationLifeways</v>
      </c>
      <c r="E167" s="13">
        <v>23.3</v>
      </c>
      <c r="F167" s="141">
        <v>24</v>
      </c>
      <c r="G167" s="12" t="str">
        <f t="shared" si="5"/>
        <v>AfterSupported Living WITHOUT accommodationLifewaysSleep-in</v>
      </c>
      <c r="H167" s="139">
        <v>124.43</v>
      </c>
      <c r="I167" s="139">
        <v>871.01</v>
      </c>
      <c r="J167" s="140" t="s">
        <v>183</v>
      </c>
      <c r="K167" s="197" t="s">
        <v>252</v>
      </c>
    </row>
    <row r="168" spans="1:11" ht="14.5" hidden="1" x14ac:dyDescent="0.35">
      <c r="A168" s="197" t="s">
        <v>248</v>
      </c>
      <c r="B168" s="12" t="s">
        <v>349</v>
      </c>
      <c r="C168" s="12" t="s">
        <v>210</v>
      </c>
      <c r="D168" s="12" t="str">
        <f t="shared" si="4"/>
        <v>AfterSupported Living WITHOUT accommodationLiving Well Social Care Ltd</v>
      </c>
      <c r="E168" s="13">
        <v>23.3</v>
      </c>
      <c r="F168" s="141">
        <v>24</v>
      </c>
      <c r="G168" s="12" t="str">
        <f t="shared" si="5"/>
        <v>AfterSupported Living WITHOUT accommodationLiving Well Social Care LtdSleep-in</v>
      </c>
      <c r="H168" s="139">
        <v>124.43</v>
      </c>
      <c r="I168" s="139">
        <v>871.01</v>
      </c>
      <c r="J168" s="140" t="s">
        <v>183</v>
      </c>
      <c r="K168" s="197" t="s">
        <v>252</v>
      </c>
    </row>
    <row r="169" spans="1:11" ht="14.5" hidden="1" x14ac:dyDescent="0.35">
      <c r="A169" s="197" t="s">
        <v>248</v>
      </c>
      <c r="B169" s="12" t="s">
        <v>349</v>
      </c>
      <c r="C169" s="12" t="s">
        <v>211</v>
      </c>
      <c r="D169" s="12" t="str">
        <f t="shared" si="4"/>
        <v>AfterSupported Living WITHOUT accommodationLyriq Healthcare Ltd</v>
      </c>
      <c r="E169" s="13">
        <v>23.3</v>
      </c>
      <c r="F169" s="141">
        <v>24</v>
      </c>
      <c r="G169" s="12" t="str">
        <f t="shared" si="5"/>
        <v>AfterSupported Living WITHOUT accommodationLyriq Healthcare LtdSleep-in</v>
      </c>
      <c r="H169" s="139">
        <v>124.43</v>
      </c>
      <c r="I169" s="139">
        <v>871.01</v>
      </c>
      <c r="J169" s="140" t="s">
        <v>183</v>
      </c>
      <c r="K169" s="197" t="s">
        <v>252</v>
      </c>
    </row>
    <row r="170" spans="1:11" ht="14.5" hidden="1" x14ac:dyDescent="0.35">
      <c r="A170" s="197" t="s">
        <v>248</v>
      </c>
      <c r="B170" s="12" t="s">
        <v>349</v>
      </c>
      <c r="C170" s="12" t="s">
        <v>212</v>
      </c>
      <c r="D170" s="12" t="str">
        <f t="shared" si="4"/>
        <v>AfterSupported Living WITHOUT accommodationMencap (Ex Partnership Home) - Royal Mencap Society</v>
      </c>
      <c r="E170" s="13">
        <v>23.3</v>
      </c>
      <c r="F170" s="141">
        <v>24</v>
      </c>
      <c r="G170" s="12" t="str">
        <f t="shared" si="5"/>
        <v>AfterSupported Living WITHOUT accommodationMencap (Ex Partnership Home) - Royal Mencap SocietySleep-in</v>
      </c>
      <c r="H170" s="139">
        <v>124.43</v>
      </c>
      <c r="I170" s="139">
        <v>871.01</v>
      </c>
      <c r="J170" s="140" t="s">
        <v>183</v>
      </c>
      <c r="K170" s="197" t="s">
        <v>252</v>
      </c>
    </row>
    <row r="171" spans="1:11" ht="14.5" hidden="1" customHeight="1" x14ac:dyDescent="0.3">
      <c r="A171" s="197" t="s">
        <v>248</v>
      </c>
      <c r="B171" s="12" t="s">
        <v>349</v>
      </c>
      <c r="C171" s="12" t="s">
        <v>54</v>
      </c>
      <c r="D171" s="12" t="str">
        <f t="shared" si="4"/>
        <v>AfterSupported Living WITHOUT accommodationMencap (Rushcliffe) - Royal Mencap Society</v>
      </c>
      <c r="E171" s="156">
        <v>23.3</v>
      </c>
      <c r="F171" s="138">
        <v>24</v>
      </c>
      <c r="G171" s="12" t="str">
        <f t="shared" si="5"/>
        <v>AfterSupported Living WITHOUT accommodationMencap (Rushcliffe) - Royal Mencap SocietySleep-in</v>
      </c>
      <c r="H171" s="139">
        <v>124.43</v>
      </c>
      <c r="I171" s="139">
        <v>871.01</v>
      </c>
      <c r="J171" s="140" t="s">
        <v>183</v>
      </c>
      <c r="K171" s="197" t="s">
        <v>252</v>
      </c>
    </row>
    <row r="172" spans="1:11" ht="13" hidden="1" x14ac:dyDescent="0.3">
      <c r="A172" s="197" t="s">
        <v>248</v>
      </c>
      <c r="B172" s="12" t="s">
        <v>349</v>
      </c>
      <c r="C172" s="12" t="s">
        <v>55</v>
      </c>
      <c r="D172" s="12" t="str">
        <f t="shared" si="4"/>
        <v>AfterSupported Living WITHOUT accommodationMencap (Worksop) - Royal Mencap Society</v>
      </c>
      <c r="E172" s="156">
        <v>23.3</v>
      </c>
      <c r="F172" s="138">
        <v>24</v>
      </c>
      <c r="G172" s="12" t="str">
        <f t="shared" si="5"/>
        <v>AfterSupported Living WITHOUT accommodationMencap (Worksop) - Royal Mencap SocietySleep-in</v>
      </c>
      <c r="H172" s="139">
        <v>124.43</v>
      </c>
      <c r="I172" s="139">
        <v>871.01</v>
      </c>
      <c r="J172" s="140" t="s">
        <v>183</v>
      </c>
      <c r="K172" s="197" t="s">
        <v>252</v>
      </c>
    </row>
    <row r="173" spans="1:11" ht="13" hidden="1" x14ac:dyDescent="0.3">
      <c r="A173" s="197" t="s">
        <v>248</v>
      </c>
      <c r="B173" s="12" t="s">
        <v>349</v>
      </c>
      <c r="C173" s="12" t="s">
        <v>213</v>
      </c>
      <c r="D173" s="12" t="str">
        <f t="shared" si="4"/>
        <v>AfterSupported Living WITHOUT accommodationMidco Care Ltd</v>
      </c>
      <c r="E173" s="156">
        <v>23.3</v>
      </c>
      <c r="F173" s="138">
        <v>24</v>
      </c>
      <c r="G173" s="12" t="str">
        <f t="shared" si="5"/>
        <v>AfterSupported Living WITHOUT accommodationMidco Care LtdSleep-in</v>
      </c>
      <c r="H173" s="139">
        <v>124.43</v>
      </c>
      <c r="I173" s="139">
        <v>871.01</v>
      </c>
      <c r="J173" s="140" t="s">
        <v>183</v>
      </c>
      <c r="K173" s="197" t="s">
        <v>252</v>
      </c>
    </row>
    <row r="174" spans="1:11" ht="13" hidden="1" x14ac:dyDescent="0.3">
      <c r="A174" s="197" t="s">
        <v>248</v>
      </c>
      <c r="B174" s="12" t="s">
        <v>349</v>
      </c>
      <c r="C174" s="12" t="s">
        <v>339</v>
      </c>
      <c r="D174" s="12" t="str">
        <f t="shared" si="4"/>
        <v>AfterSupported Living WITHOUT accommodationMyHomecareNottingham</v>
      </c>
      <c r="E174" s="156">
        <v>23.3</v>
      </c>
      <c r="F174" s="138">
        <v>24</v>
      </c>
      <c r="G174" s="12" t="str">
        <f t="shared" si="5"/>
        <v>AfterSupported Living WITHOUT accommodationMyHomecareNottinghamSleep-in</v>
      </c>
      <c r="H174" s="139">
        <v>124.43</v>
      </c>
      <c r="I174" s="139">
        <v>871.01</v>
      </c>
      <c r="J174" s="140" t="s">
        <v>183</v>
      </c>
      <c r="K174" s="197" t="s">
        <v>252</v>
      </c>
    </row>
    <row r="175" spans="1:11" ht="13" hidden="1" x14ac:dyDescent="0.3">
      <c r="A175" s="197" t="s">
        <v>248</v>
      </c>
      <c r="B175" s="12" t="s">
        <v>349</v>
      </c>
      <c r="C175" s="12" t="s">
        <v>214</v>
      </c>
      <c r="D175" s="12" t="str">
        <f t="shared" si="4"/>
        <v>AfterSupported Living WITHOUT accommodationNardus Healthcare</v>
      </c>
      <c r="E175" s="156">
        <v>23.3</v>
      </c>
      <c r="F175" s="138">
        <v>24</v>
      </c>
      <c r="G175" s="12" t="str">
        <f t="shared" si="5"/>
        <v>AfterSupported Living WITHOUT accommodationNardus HealthcareSleep-in</v>
      </c>
      <c r="H175" s="139">
        <v>124.43</v>
      </c>
      <c r="I175" s="139">
        <v>871.01</v>
      </c>
      <c r="J175" s="140" t="s">
        <v>183</v>
      </c>
      <c r="K175" s="197" t="s">
        <v>252</v>
      </c>
    </row>
    <row r="176" spans="1:11" ht="13" hidden="1" customHeight="1" x14ac:dyDescent="0.35">
      <c r="A176" s="197" t="s">
        <v>248</v>
      </c>
      <c r="B176" s="12" t="s">
        <v>349</v>
      </c>
      <c r="C176" s="12" t="s">
        <v>15</v>
      </c>
      <c r="D176" s="12" t="str">
        <f t="shared" si="4"/>
        <v>AfterSupported Living WITHOUT accommodationNCHA</v>
      </c>
      <c r="E176" s="13">
        <v>23.3</v>
      </c>
      <c r="F176" s="141">
        <v>24</v>
      </c>
      <c r="G176" s="12" t="str">
        <f t="shared" si="5"/>
        <v>AfterSupported Living WITHOUT accommodationNCHASleep-in</v>
      </c>
      <c r="H176" s="139">
        <v>124.43</v>
      </c>
      <c r="I176" s="139">
        <v>871.01</v>
      </c>
      <c r="J176" s="140" t="s">
        <v>183</v>
      </c>
      <c r="K176" s="197" t="s">
        <v>252</v>
      </c>
    </row>
    <row r="177" spans="1:11" ht="14.5" hidden="1" x14ac:dyDescent="0.35">
      <c r="A177" s="197" t="s">
        <v>248</v>
      </c>
      <c r="B177" s="12" t="s">
        <v>349</v>
      </c>
      <c r="C177" s="12" t="s">
        <v>215</v>
      </c>
      <c r="D177" s="12" t="str">
        <f t="shared" si="4"/>
        <v>AfterSupported Living WITHOUT accommodationPerthyn (EMT)</v>
      </c>
      <c r="E177" s="13">
        <v>23.3</v>
      </c>
      <c r="F177" s="141">
        <v>24</v>
      </c>
      <c r="G177" s="12" t="str">
        <f t="shared" si="5"/>
        <v>AfterSupported Living WITHOUT accommodationPerthyn (EMT)Sleep-in</v>
      </c>
      <c r="H177" s="139">
        <v>124.43</v>
      </c>
      <c r="I177" s="139">
        <v>871.01</v>
      </c>
      <c r="J177" s="140" t="s">
        <v>183</v>
      </c>
      <c r="K177" s="197" t="s">
        <v>252</v>
      </c>
    </row>
    <row r="178" spans="1:11" ht="14.5" hidden="1" x14ac:dyDescent="0.35">
      <c r="A178" s="197" t="s">
        <v>248</v>
      </c>
      <c r="B178" s="12" t="s">
        <v>349</v>
      </c>
      <c r="C178" s="12" t="s">
        <v>216</v>
      </c>
      <c r="D178" s="12" t="str">
        <f t="shared" si="4"/>
        <v>AfterSupported Living WITHOUT accommodationPotens</v>
      </c>
      <c r="E178" s="13">
        <v>23.3</v>
      </c>
      <c r="F178" s="141">
        <v>24</v>
      </c>
      <c r="G178" s="12" t="str">
        <f t="shared" si="5"/>
        <v>AfterSupported Living WITHOUT accommodationPotensSleep-in</v>
      </c>
      <c r="H178" s="139">
        <v>124.43</v>
      </c>
      <c r="I178" s="139">
        <v>871.01</v>
      </c>
      <c r="J178" s="140" t="s">
        <v>183</v>
      </c>
      <c r="K178" s="197" t="s">
        <v>252</v>
      </c>
    </row>
    <row r="179" spans="1:11" ht="14.5" hidden="1" x14ac:dyDescent="0.35">
      <c r="A179" s="197" t="s">
        <v>248</v>
      </c>
      <c r="B179" s="12" t="s">
        <v>349</v>
      </c>
      <c r="C179" s="12" t="s">
        <v>340</v>
      </c>
      <c r="D179" s="12" t="str">
        <f t="shared" si="4"/>
        <v xml:space="preserve">AfterSupported Living WITHOUT accommodationPrinciple Support </v>
      </c>
      <c r="E179" s="13">
        <v>23.3</v>
      </c>
      <c r="F179" s="141">
        <v>24</v>
      </c>
      <c r="G179" s="12" t="str">
        <f t="shared" si="5"/>
        <v>AfterSupported Living WITHOUT accommodationPrinciple Support Sleep-in</v>
      </c>
      <c r="H179" s="139">
        <v>124.43</v>
      </c>
      <c r="I179" s="139">
        <v>871.01</v>
      </c>
      <c r="J179" s="140" t="s">
        <v>183</v>
      </c>
      <c r="K179" s="197" t="s">
        <v>252</v>
      </c>
    </row>
    <row r="180" spans="1:11" ht="14.5" hidden="1" x14ac:dyDescent="0.35">
      <c r="A180" s="197" t="s">
        <v>248</v>
      </c>
      <c r="B180" s="12" t="s">
        <v>349</v>
      </c>
      <c r="C180" s="12" t="s">
        <v>217</v>
      </c>
      <c r="D180" s="12" t="str">
        <f t="shared" si="4"/>
        <v>AfterSupported Living WITHOUT accommodationProtea Care Homes</v>
      </c>
      <c r="E180" s="13">
        <v>23.3</v>
      </c>
      <c r="F180" s="141">
        <v>24</v>
      </c>
      <c r="G180" s="12" t="str">
        <f t="shared" si="5"/>
        <v>AfterSupported Living WITHOUT accommodationProtea Care HomesSleep-in</v>
      </c>
      <c r="H180" s="139">
        <v>124.43</v>
      </c>
      <c r="I180" s="139">
        <v>871.01</v>
      </c>
      <c r="J180" s="140" t="s">
        <v>183</v>
      </c>
      <c r="K180" s="197" t="s">
        <v>252</v>
      </c>
    </row>
    <row r="181" spans="1:11" ht="14.5" hidden="1" x14ac:dyDescent="0.35">
      <c r="A181" s="197" t="s">
        <v>248</v>
      </c>
      <c r="B181" s="12" t="s">
        <v>349</v>
      </c>
      <c r="C181" s="12" t="s">
        <v>218</v>
      </c>
      <c r="D181" s="12" t="str">
        <f t="shared" si="4"/>
        <v>AfterSupported Living WITHOUT accommodationQuality Care (EM)</v>
      </c>
      <c r="E181" s="13">
        <v>23.3</v>
      </c>
      <c r="F181" s="141">
        <v>24</v>
      </c>
      <c r="G181" s="12" t="str">
        <f t="shared" si="5"/>
        <v>AfterSupported Living WITHOUT accommodationQuality Care (EM)Sleep-in</v>
      </c>
      <c r="H181" s="139">
        <v>124.43</v>
      </c>
      <c r="I181" s="139">
        <v>871.01</v>
      </c>
      <c r="J181" s="140" t="s">
        <v>183</v>
      </c>
      <c r="K181" s="197" t="s">
        <v>252</v>
      </c>
    </row>
    <row r="182" spans="1:11" ht="14.5" hidden="1" x14ac:dyDescent="0.35">
      <c r="A182" s="197" t="s">
        <v>248</v>
      </c>
      <c r="B182" s="12" t="s">
        <v>349</v>
      </c>
      <c r="C182" s="12" t="s">
        <v>77</v>
      </c>
      <c r="D182" s="12" t="str">
        <f t="shared" si="4"/>
        <v>AfterSupported Living WITHOUT accommodationReach Learning Disability Care (CiC)</v>
      </c>
      <c r="E182" s="13">
        <v>23.3</v>
      </c>
      <c r="F182" s="141">
        <v>24</v>
      </c>
      <c r="G182" s="12" t="str">
        <f t="shared" si="5"/>
        <v>AfterSupported Living WITHOUT accommodationReach Learning Disability Care (CiC)Sleep-in</v>
      </c>
      <c r="H182" s="139">
        <v>124.43</v>
      </c>
      <c r="I182" s="139">
        <v>871.01</v>
      </c>
      <c r="J182" s="140" t="s">
        <v>183</v>
      </c>
      <c r="K182" s="197" t="s">
        <v>252</v>
      </c>
    </row>
    <row r="183" spans="1:11" ht="14.5" hidden="1" x14ac:dyDescent="0.35">
      <c r="A183" s="197" t="s">
        <v>248</v>
      </c>
      <c r="B183" s="12" t="s">
        <v>349</v>
      </c>
      <c r="C183" s="12" t="s">
        <v>168</v>
      </c>
      <c r="D183" s="12" t="str">
        <f t="shared" si="4"/>
        <v>AfterSupported Living WITHOUT accommodationReal Life Options</v>
      </c>
      <c r="E183" s="13">
        <v>23.3</v>
      </c>
      <c r="F183" s="141">
        <v>24</v>
      </c>
      <c r="G183" s="12" t="str">
        <f t="shared" si="5"/>
        <v>AfterSupported Living WITHOUT accommodationReal Life OptionsSleep-in</v>
      </c>
      <c r="H183" s="139">
        <v>124.43</v>
      </c>
      <c r="I183" s="139">
        <v>871.01</v>
      </c>
      <c r="J183" s="140" t="s">
        <v>183</v>
      </c>
      <c r="K183" s="197" t="s">
        <v>252</v>
      </c>
    </row>
    <row r="184" spans="1:11" ht="14.5" hidden="1" x14ac:dyDescent="0.35">
      <c r="A184" s="197" t="s">
        <v>248</v>
      </c>
      <c r="B184" s="12" t="s">
        <v>349</v>
      </c>
      <c r="C184" s="12" t="s">
        <v>219</v>
      </c>
      <c r="D184" s="12" t="str">
        <f t="shared" si="4"/>
        <v>AfterSupported Living WITHOUT accommodationSafe Sanctuary Living Ltd</v>
      </c>
      <c r="E184" s="13">
        <v>23.3</v>
      </c>
      <c r="F184" s="141">
        <v>24</v>
      </c>
      <c r="G184" s="12" t="str">
        <f t="shared" si="5"/>
        <v>AfterSupported Living WITHOUT accommodationSafe Sanctuary Living LtdSleep-in</v>
      </c>
      <c r="H184" s="139">
        <v>124.43</v>
      </c>
      <c r="I184" s="139">
        <v>871.01</v>
      </c>
      <c r="J184" s="140" t="s">
        <v>183</v>
      </c>
      <c r="K184" s="197" t="s">
        <v>252</v>
      </c>
    </row>
    <row r="185" spans="1:11" ht="14.5" hidden="1" x14ac:dyDescent="0.35">
      <c r="A185" s="197" t="s">
        <v>248</v>
      </c>
      <c r="B185" s="12" t="s">
        <v>349</v>
      </c>
      <c r="C185" s="12" t="s">
        <v>64</v>
      </c>
      <c r="D185" s="12" t="str">
        <f t="shared" si="4"/>
        <v>AfterSupported Living WITHOUT accommodationSanctuary - Corner House Supported Living</v>
      </c>
      <c r="E185" s="13">
        <v>23.3</v>
      </c>
      <c r="F185" s="141">
        <v>24</v>
      </c>
      <c r="G185" s="12" t="str">
        <f t="shared" si="5"/>
        <v>AfterSupported Living WITHOUT accommodationSanctuary - Corner House Supported LivingSleep-in</v>
      </c>
      <c r="H185" s="139">
        <v>124.43</v>
      </c>
      <c r="I185" s="139">
        <v>871.01</v>
      </c>
      <c r="J185" s="140" t="s">
        <v>183</v>
      </c>
      <c r="K185" s="197" t="s">
        <v>252</v>
      </c>
    </row>
    <row r="186" spans="1:11" ht="14.5" hidden="1" x14ac:dyDescent="0.35">
      <c r="A186" s="197" t="s">
        <v>248</v>
      </c>
      <c r="B186" s="12" t="s">
        <v>349</v>
      </c>
      <c r="C186" s="12" t="s">
        <v>220</v>
      </c>
      <c r="D186" s="12" t="str">
        <f t="shared" si="4"/>
        <v>AfterSupported Living WITHOUT accommodationSentricare East Midlands Ltd</v>
      </c>
      <c r="E186" s="13">
        <v>23.3</v>
      </c>
      <c r="F186" s="141">
        <v>24</v>
      </c>
      <c r="G186" s="12" t="str">
        <f t="shared" si="5"/>
        <v>AfterSupported Living WITHOUT accommodationSentricare East Midlands LtdSleep-in</v>
      </c>
      <c r="H186" s="139">
        <v>124.43</v>
      </c>
      <c r="I186" s="139">
        <v>871.01</v>
      </c>
      <c r="J186" s="140" t="s">
        <v>183</v>
      </c>
      <c r="K186" s="197" t="s">
        <v>252</v>
      </c>
    </row>
    <row r="187" spans="1:11" ht="14.5" hidden="1" x14ac:dyDescent="0.35">
      <c r="A187" s="197" t="s">
        <v>248</v>
      </c>
      <c r="B187" s="12" t="s">
        <v>349</v>
      </c>
      <c r="C187" s="12" t="s">
        <v>221</v>
      </c>
      <c r="D187" s="12" t="str">
        <f t="shared" si="4"/>
        <v>AfterSupported Living WITHOUT accommodationServis Personal Ltd</v>
      </c>
      <c r="E187" s="13">
        <v>23.3</v>
      </c>
      <c r="F187" s="141">
        <v>24</v>
      </c>
      <c r="G187" s="12" t="str">
        <f t="shared" si="5"/>
        <v>AfterSupported Living WITHOUT accommodationServis Personal LtdSleep-in</v>
      </c>
      <c r="H187" s="139">
        <v>124.43</v>
      </c>
      <c r="I187" s="139">
        <v>871.01</v>
      </c>
      <c r="J187" s="140" t="s">
        <v>183</v>
      </c>
      <c r="K187" s="197" t="s">
        <v>252</v>
      </c>
    </row>
    <row r="188" spans="1:11" ht="14.5" hidden="1" x14ac:dyDescent="0.35">
      <c r="A188" s="197" t="s">
        <v>248</v>
      </c>
      <c r="B188" s="12" t="s">
        <v>349</v>
      </c>
      <c r="C188" s="12" t="s">
        <v>119</v>
      </c>
      <c r="D188" s="12" t="str">
        <f t="shared" si="4"/>
        <v>AfterSupported Living WITHOUT accommodationSpace Inclusive</v>
      </c>
      <c r="E188" s="13">
        <v>23.3</v>
      </c>
      <c r="F188" s="141">
        <v>24</v>
      </c>
      <c r="G188" s="12" t="str">
        <f t="shared" si="5"/>
        <v>AfterSupported Living WITHOUT accommodationSpace InclusiveSleep-in</v>
      </c>
      <c r="H188" s="139">
        <v>124.43</v>
      </c>
      <c r="I188" s="139">
        <v>871.01</v>
      </c>
      <c r="J188" s="140" t="s">
        <v>183</v>
      </c>
      <c r="K188" s="197" t="s">
        <v>252</v>
      </c>
    </row>
    <row r="189" spans="1:11" ht="14.5" hidden="1" x14ac:dyDescent="0.35">
      <c r="A189" s="197" t="s">
        <v>248</v>
      </c>
      <c r="B189" s="12" t="s">
        <v>349</v>
      </c>
      <c r="C189" s="12" t="s">
        <v>222</v>
      </c>
      <c r="D189" s="12" t="str">
        <f t="shared" si="4"/>
        <v>AfterSupported Living WITHOUT accommodationThe Silver Ark Healthcare Ltd</v>
      </c>
      <c r="E189" s="13">
        <v>23.3</v>
      </c>
      <c r="F189" s="141">
        <v>24</v>
      </c>
      <c r="G189" s="12" t="str">
        <f t="shared" si="5"/>
        <v>AfterSupported Living WITHOUT accommodationThe Silver Ark Healthcare LtdSleep-in</v>
      </c>
      <c r="H189" s="139">
        <v>124.43</v>
      </c>
      <c r="I189" s="139">
        <v>871.01</v>
      </c>
      <c r="J189" s="140" t="s">
        <v>183</v>
      </c>
      <c r="K189" s="197" t="s">
        <v>252</v>
      </c>
    </row>
    <row r="190" spans="1:11" ht="14.5" hidden="1" customHeight="1" x14ac:dyDescent="0.3">
      <c r="A190" s="197" t="s">
        <v>248</v>
      </c>
      <c r="B190" s="12" t="s">
        <v>349</v>
      </c>
      <c r="C190" s="12" t="s">
        <v>16</v>
      </c>
      <c r="D190" s="12" t="str">
        <f t="shared" si="4"/>
        <v>AfterSupported Living WITHOUT accommodationThera</v>
      </c>
      <c r="E190" s="156">
        <v>23.3</v>
      </c>
      <c r="F190" s="138">
        <v>24</v>
      </c>
      <c r="G190" s="12" t="str">
        <f t="shared" si="5"/>
        <v>AfterSupported Living WITHOUT accommodationTheraSleep-in</v>
      </c>
      <c r="H190" s="139">
        <v>124.43</v>
      </c>
      <c r="I190" s="139">
        <v>871.01</v>
      </c>
      <c r="J190" s="140" t="s">
        <v>183</v>
      </c>
      <c r="K190" s="197" t="s">
        <v>252</v>
      </c>
    </row>
    <row r="191" spans="1:11" ht="13" hidden="1" x14ac:dyDescent="0.3">
      <c r="A191" s="197" t="s">
        <v>248</v>
      </c>
      <c r="B191" s="12" t="s">
        <v>349</v>
      </c>
      <c r="C191" s="12" t="s">
        <v>223</v>
      </c>
      <c r="D191" s="12" t="str">
        <f t="shared" si="4"/>
        <v>AfterSupported Living WITHOUT accommodationTurning Point Services Ltd (CSE)</v>
      </c>
      <c r="E191" s="156">
        <v>23.3</v>
      </c>
      <c r="F191" s="138">
        <v>24</v>
      </c>
      <c r="G191" s="12" t="str">
        <f t="shared" si="5"/>
        <v>AfterSupported Living WITHOUT accommodationTurning Point Services Ltd (CSE)Sleep-in</v>
      </c>
      <c r="H191" s="139">
        <v>124.43</v>
      </c>
      <c r="I191" s="139">
        <v>871.01</v>
      </c>
      <c r="J191" s="140" t="s">
        <v>183</v>
      </c>
      <c r="K191" s="201" t="s">
        <v>252</v>
      </c>
    </row>
    <row r="192" spans="1:11" ht="13" hidden="1" customHeight="1" x14ac:dyDescent="0.35">
      <c r="A192" s="197" t="s">
        <v>248</v>
      </c>
      <c r="B192" s="12" t="s">
        <v>349</v>
      </c>
      <c r="C192" s="12" t="s">
        <v>17</v>
      </c>
      <c r="D192" s="12" t="str">
        <f t="shared" si="4"/>
        <v>AfterSupported Living WITHOUT accommodationUnited Response</v>
      </c>
      <c r="E192" s="13">
        <v>23.3</v>
      </c>
      <c r="F192" s="141">
        <v>24</v>
      </c>
      <c r="G192" s="12" t="str">
        <f t="shared" si="5"/>
        <v>AfterSupported Living WITHOUT accommodationUnited ResponseSleep-in</v>
      </c>
      <c r="H192" s="139">
        <v>124.43</v>
      </c>
      <c r="I192" s="139">
        <v>871.01</v>
      </c>
      <c r="J192" s="140" t="s">
        <v>183</v>
      </c>
      <c r="K192" s="181" t="s">
        <v>252</v>
      </c>
    </row>
    <row r="193" spans="1:16" ht="14.5" hidden="1" x14ac:dyDescent="0.35">
      <c r="A193" s="263" t="s">
        <v>248</v>
      </c>
      <c r="B193" s="264" t="s">
        <v>349</v>
      </c>
      <c r="C193" s="264" t="s">
        <v>334</v>
      </c>
      <c r="D193" s="264" t="str">
        <f t="shared" si="4"/>
        <v xml:space="preserve">AfterSupported Living WITHOUT accommodationValley Care Direct Ltd (t/a Care Sante London) </v>
      </c>
      <c r="E193" s="265">
        <v>23.3</v>
      </c>
      <c r="F193" s="265">
        <v>24</v>
      </c>
      <c r="G193" s="264" t="str">
        <f t="shared" si="5"/>
        <v>AfterSupported Living WITHOUT accommodationValley Care Direct Ltd (t/a Care Sante London) Sleep-in</v>
      </c>
      <c r="H193" s="265">
        <v>124.43</v>
      </c>
      <c r="I193" s="265">
        <v>871.01</v>
      </c>
      <c r="J193" s="272" t="s">
        <v>335</v>
      </c>
      <c r="K193" s="197" t="s">
        <v>252</v>
      </c>
    </row>
    <row r="194" spans="1:16" ht="14.5" hidden="1" x14ac:dyDescent="0.35">
      <c r="A194" s="197" t="s">
        <v>248</v>
      </c>
      <c r="B194" s="12" t="s">
        <v>349</v>
      </c>
      <c r="C194" s="12" t="s">
        <v>18</v>
      </c>
      <c r="D194" s="12" t="str">
        <f t="shared" si="4"/>
        <v>AfterSupported Living WITHOUT accommodationVoyage</v>
      </c>
      <c r="E194" s="13">
        <v>23.3</v>
      </c>
      <c r="F194" s="141">
        <v>24</v>
      </c>
      <c r="G194" s="12" t="str">
        <f t="shared" si="5"/>
        <v>AfterSupported Living WITHOUT accommodationVoyageSleep-in</v>
      </c>
      <c r="H194" s="139">
        <v>124.43</v>
      </c>
      <c r="I194" s="139">
        <v>871.01</v>
      </c>
      <c r="J194" s="140" t="s">
        <v>183</v>
      </c>
      <c r="K194" s="201" t="s">
        <v>252</v>
      </c>
    </row>
    <row r="195" spans="1:16" ht="15" hidden="1" thickBot="1" x14ac:dyDescent="0.4">
      <c r="A195" s="284" t="s">
        <v>248</v>
      </c>
      <c r="B195" s="285" t="s">
        <v>349</v>
      </c>
      <c r="C195" s="285" t="s">
        <v>224</v>
      </c>
      <c r="D195" s="285" t="str">
        <f t="shared" ref="D195:D258" si="6">A195&amp;B195&amp;C195</f>
        <v>AfterSupported Living WITHOUT accommodationWarwickshire Living Ltd</v>
      </c>
      <c r="E195" s="286">
        <v>23.3</v>
      </c>
      <c r="F195" s="157">
        <v>24</v>
      </c>
      <c r="G195" s="285" t="str">
        <f t="shared" ref="G195:G258" si="7">A195&amp;B195&amp;C195&amp;"Sleep-in"</f>
        <v>AfterSupported Living WITHOUT accommodationWarwickshire Living LtdSleep-in</v>
      </c>
      <c r="H195" s="144">
        <v>124.43</v>
      </c>
      <c r="I195" s="144">
        <v>871.01</v>
      </c>
      <c r="J195" s="145" t="s">
        <v>183</v>
      </c>
      <c r="K195" s="287" t="s">
        <v>252</v>
      </c>
      <c r="P195" s="25">
        <f>SUM(I132:I195)</f>
        <v>55647.950000000026</v>
      </c>
    </row>
    <row r="196" spans="1:16" ht="14.5" hidden="1" x14ac:dyDescent="0.35">
      <c r="A196" s="181" t="s">
        <v>248</v>
      </c>
      <c r="B196" s="182" t="s">
        <v>239</v>
      </c>
      <c r="C196" s="182" t="s">
        <v>182</v>
      </c>
      <c r="D196" s="182" t="str">
        <f t="shared" si="6"/>
        <v>AfterSupported Living with accommodationAcclaim Care Agency Ltd</v>
      </c>
      <c r="E196" s="183">
        <v>23.3</v>
      </c>
      <c r="F196" s="184">
        <v>24</v>
      </c>
      <c r="G196" s="182" t="str">
        <f t="shared" si="7"/>
        <v>AfterSupported Living with accommodationAcclaim Care Agency LtdSleep-in</v>
      </c>
      <c r="H196" s="184">
        <v>124.43</v>
      </c>
      <c r="I196" s="184">
        <v>871.01</v>
      </c>
      <c r="J196" s="185" t="s">
        <v>225</v>
      </c>
      <c r="K196" s="181" t="s">
        <v>252</v>
      </c>
    </row>
    <row r="197" spans="1:16" ht="14.5" hidden="1" x14ac:dyDescent="0.35">
      <c r="A197" s="201" t="s">
        <v>248</v>
      </c>
      <c r="B197" s="14" t="s">
        <v>239</v>
      </c>
      <c r="C197" s="14" t="s">
        <v>184</v>
      </c>
      <c r="D197" s="14" t="str">
        <f t="shared" si="6"/>
        <v>AfterSupported Living with accommodationAchieve Together Ltd</v>
      </c>
      <c r="E197" s="15">
        <v>23.3</v>
      </c>
      <c r="F197" s="141">
        <v>24</v>
      </c>
      <c r="G197" s="14" t="str">
        <f t="shared" si="7"/>
        <v>AfterSupported Living with accommodationAchieve Together LtdSleep-in</v>
      </c>
      <c r="H197" s="141">
        <v>124.43</v>
      </c>
      <c r="I197" s="141">
        <v>871.01</v>
      </c>
      <c r="J197" s="140" t="s">
        <v>225</v>
      </c>
      <c r="K197" s="201" t="s">
        <v>252</v>
      </c>
    </row>
    <row r="198" spans="1:16" ht="14.5" hidden="1" x14ac:dyDescent="0.35">
      <c r="A198" s="201" t="s">
        <v>248</v>
      </c>
      <c r="B198" s="14" t="s">
        <v>239</v>
      </c>
      <c r="C198" s="14" t="s">
        <v>185</v>
      </c>
      <c r="D198" s="14" t="str">
        <f t="shared" si="6"/>
        <v>AfterSupported Living with accommodationAll 4 Health Ltd</v>
      </c>
      <c r="E198" s="15">
        <v>23.3</v>
      </c>
      <c r="F198" s="141">
        <v>24</v>
      </c>
      <c r="G198" s="14" t="str">
        <f t="shared" si="7"/>
        <v>AfterSupported Living with accommodationAll 4 Health LtdSleep-in</v>
      </c>
      <c r="H198" s="141">
        <v>124.43</v>
      </c>
      <c r="I198" s="141">
        <v>871.01</v>
      </c>
      <c r="J198" s="140" t="s">
        <v>226</v>
      </c>
      <c r="K198" s="201" t="s">
        <v>252</v>
      </c>
    </row>
    <row r="199" spans="1:16" ht="14.5" hidden="1" x14ac:dyDescent="0.35">
      <c r="A199" s="201" t="s">
        <v>248</v>
      </c>
      <c r="B199" s="14" t="s">
        <v>239</v>
      </c>
      <c r="C199" s="14" t="s">
        <v>186</v>
      </c>
      <c r="D199" s="14" t="str">
        <f t="shared" si="6"/>
        <v>AfterSupported Living with accommodationAlpha Health &amp; Social Care Services Ltd</v>
      </c>
      <c r="E199" s="15">
        <v>23.3</v>
      </c>
      <c r="F199" s="141">
        <v>24</v>
      </c>
      <c r="G199" s="14" t="str">
        <f t="shared" si="7"/>
        <v>AfterSupported Living with accommodationAlpha Health &amp; Social Care Services LtdSleep-in</v>
      </c>
      <c r="H199" s="141">
        <v>124.43</v>
      </c>
      <c r="I199" s="141">
        <v>871.01</v>
      </c>
      <c r="J199" s="140" t="s">
        <v>226</v>
      </c>
      <c r="K199" s="201" t="s">
        <v>252</v>
      </c>
    </row>
    <row r="200" spans="1:16" ht="14.5" hidden="1" x14ac:dyDescent="0.35">
      <c r="A200" s="201" t="s">
        <v>248</v>
      </c>
      <c r="B200" s="14" t="s">
        <v>239</v>
      </c>
      <c r="C200" s="14" t="s">
        <v>187</v>
      </c>
      <c r="D200" s="14" t="str">
        <f t="shared" si="6"/>
        <v>AfterSupported Living with accommodationAnt and Bex Lodgings Ltd</v>
      </c>
      <c r="E200" s="15">
        <v>23.3</v>
      </c>
      <c r="F200" s="141">
        <v>24</v>
      </c>
      <c r="G200" s="14" t="str">
        <f t="shared" si="7"/>
        <v>AfterSupported Living with accommodationAnt and Bex Lodgings LtdSleep-in</v>
      </c>
      <c r="H200" s="141">
        <v>124.43</v>
      </c>
      <c r="I200" s="141">
        <v>871.01</v>
      </c>
      <c r="J200" s="140" t="s">
        <v>226</v>
      </c>
      <c r="K200" s="201" t="s">
        <v>252</v>
      </c>
    </row>
    <row r="201" spans="1:16" ht="14.5" hidden="1" x14ac:dyDescent="0.35">
      <c r="A201" s="268" t="s">
        <v>248</v>
      </c>
      <c r="B201" s="269" t="s">
        <v>239</v>
      </c>
      <c r="C201" s="269" t="s">
        <v>332</v>
      </c>
      <c r="D201" s="269" t="str">
        <f t="shared" si="6"/>
        <v>AfterSupported Living with accommodationAOC Homecare (t/a Angel Oak Care)</v>
      </c>
      <c r="E201" s="270">
        <v>23.3</v>
      </c>
      <c r="F201" s="270">
        <v>24</v>
      </c>
      <c r="G201" s="269" t="str">
        <f t="shared" si="7"/>
        <v>AfterSupported Living with accommodationAOC Homecare (t/a Angel Oak Care)Sleep-in</v>
      </c>
      <c r="H201" s="270">
        <v>124.43</v>
      </c>
      <c r="I201" s="270">
        <v>871.01</v>
      </c>
      <c r="J201" s="271" t="s">
        <v>333</v>
      </c>
      <c r="K201" s="201" t="s">
        <v>252</v>
      </c>
    </row>
    <row r="202" spans="1:16" ht="14.5" hidden="1" x14ac:dyDescent="0.35">
      <c r="A202" s="201" t="s">
        <v>248</v>
      </c>
      <c r="B202" s="14" t="s">
        <v>239</v>
      </c>
      <c r="C202" s="14" t="s">
        <v>188</v>
      </c>
      <c r="D202" s="14" t="str">
        <f t="shared" si="6"/>
        <v>AfterSupported Living with accommodationArchangel Enterprises Ltd</v>
      </c>
      <c r="E202" s="15">
        <v>23.3</v>
      </c>
      <c r="F202" s="141">
        <v>24</v>
      </c>
      <c r="G202" s="14" t="str">
        <f t="shared" si="7"/>
        <v>AfterSupported Living with accommodationArchangel Enterprises LtdSleep-in</v>
      </c>
      <c r="H202" s="141">
        <v>124.43</v>
      </c>
      <c r="I202" s="141">
        <v>871.01</v>
      </c>
      <c r="J202" s="140" t="s">
        <v>225</v>
      </c>
      <c r="K202" s="201" t="s">
        <v>252</v>
      </c>
    </row>
    <row r="203" spans="1:16" ht="14.5" hidden="1" x14ac:dyDescent="0.35">
      <c r="A203" s="201" t="s">
        <v>248</v>
      </c>
      <c r="B203" s="14" t="s">
        <v>239</v>
      </c>
      <c r="C203" s="14" t="s">
        <v>163</v>
      </c>
      <c r="D203" s="14" t="str">
        <f t="shared" si="6"/>
        <v>AfterSupported Living with accommodationAspirations Care Ltd</v>
      </c>
      <c r="E203" s="15">
        <v>23.3</v>
      </c>
      <c r="F203" s="141">
        <v>24</v>
      </c>
      <c r="G203" s="14" t="str">
        <f t="shared" si="7"/>
        <v>AfterSupported Living with accommodationAspirations Care LtdSleep-in</v>
      </c>
      <c r="H203" s="141">
        <v>124.43</v>
      </c>
      <c r="I203" s="141">
        <v>871.01</v>
      </c>
      <c r="J203" s="140" t="s">
        <v>225</v>
      </c>
      <c r="K203" s="201" t="s">
        <v>252</v>
      </c>
    </row>
    <row r="204" spans="1:16" ht="14.5" hidden="1" x14ac:dyDescent="0.35">
      <c r="A204" s="201" t="s">
        <v>248</v>
      </c>
      <c r="B204" s="14" t="s">
        <v>239</v>
      </c>
      <c r="C204" s="14" t="s">
        <v>189</v>
      </c>
      <c r="D204" s="14" t="str">
        <f t="shared" si="6"/>
        <v>AfterSupported Living with accommodationAutism East Midlands</v>
      </c>
      <c r="E204" s="15">
        <v>23.3</v>
      </c>
      <c r="F204" s="141">
        <v>24</v>
      </c>
      <c r="G204" s="14" t="str">
        <f t="shared" si="7"/>
        <v>AfterSupported Living with accommodationAutism East MidlandsSleep-in</v>
      </c>
      <c r="H204" s="141">
        <v>124.43</v>
      </c>
      <c r="I204" s="141">
        <v>871.01</v>
      </c>
      <c r="J204" s="140" t="s">
        <v>226</v>
      </c>
      <c r="K204" s="201" t="s">
        <v>252</v>
      </c>
    </row>
    <row r="205" spans="1:16" ht="14.5" hidden="1" x14ac:dyDescent="0.35">
      <c r="A205" s="201" t="s">
        <v>248</v>
      </c>
      <c r="B205" s="14" t="s">
        <v>239</v>
      </c>
      <c r="C205" s="14" t="s">
        <v>190</v>
      </c>
      <c r="D205" s="14" t="str">
        <f t="shared" si="6"/>
        <v>AfterSupported Living with accommodationAxis Recruitment Ltd</v>
      </c>
      <c r="E205" s="15">
        <v>23.3</v>
      </c>
      <c r="F205" s="141">
        <v>24</v>
      </c>
      <c r="G205" s="14" t="str">
        <f t="shared" si="7"/>
        <v>AfterSupported Living with accommodationAxis Recruitment LtdSleep-in</v>
      </c>
      <c r="H205" s="141">
        <v>124.43</v>
      </c>
      <c r="I205" s="141">
        <v>871.01</v>
      </c>
      <c r="J205" s="140" t="s">
        <v>225</v>
      </c>
      <c r="K205" s="201" t="s">
        <v>252</v>
      </c>
    </row>
    <row r="206" spans="1:16" ht="14.5" hidden="1" x14ac:dyDescent="0.35">
      <c r="A206" s="201" t="s">
        <v>248</v>
      </c>
      <c r="B206" s="14" t="s">
        <v>239</v>
      </c>
      <c r="C206" s="14" t="s">
        <v>191</v>
      </c>
      <c r="D206" s="14" t="str">
        <f t="shared" si="6"/>
        <v>AfterSupported Living with accommodationBreak Barriers (Nottingham) Ltd</v>
      </c>
      <c r="E206" s="15">
        <v>23.3</v>
      </c>
      <c r="F206" s="141">
        <v>24</v>
      </c>
      <c r="G206" s="14" t="str">
        <f t="shared" si="7"/>
        <v>AfterSupported Living with accommodationBreak Barriers (Nottingham) LtdSleep-in</v>
      </c>
      <c r="H206" s="141">
        <v>124.43</v>
      </c>
      <c r="I206" s="141">
        <v>871.01</v>
      </c>
      <c r="J206" s="140" t="s">
        <v>226</v>
      </c>
      <c r="K206" s="201" t="s">
        <v>252</v>
      </c>
    </row>
    <row r="207" spans="1:16" ht="14.5" hidden="1" x14ac:dyDescent="0.35">
      <c r="A207" s="201" t="s">
        <v>248</v>
      </c>
      <c r="B207" s="14" t="s">
        <v>239</v>
      </c>
      <c r="C207" s="14" t="s">
        <v>192</v>
      </c>
      <c r="D207" s="14" t="str">
        <f t="shared" si="6"/>
        <v>AfterSupported Living with accommodationCare Sante London</v>
      </c>
      <c r="E207" s="15">
        <v>23.3</v>
      </c>
      <c r="F207" s="141">
        <v>24</v>
      </c>
      <c r="G207" s="14" t="str">
        <f t="shared" si="7"/>
        <v>AfterSupported Living with accommodationCare Sante LondonSleep-in</v>
      </c>
      <c r="H207" s="141">
        <v>124.43</v>
      </c>
      <c r="I207" s="141">
        <v>871.01</v>
      </c>
      <c r="J207" s="140" t="s">
        <v>226</v>
      </c>
      <c r="K207" s="201" t="s">
        <v>252</v>
      </c>
    </row>
    <row r="208" spans="1:16" ht="14.5" hidden="1" x14ac:dyDescent="0.35">
      <c r="A208" s="201" t="s">
        <v>248</v>
      </c>
      <c r="B208" s="14" t="s">
        <v>239</v>
      </c>
      <c r="C208" s="14" t="s">
        <v>194</v>
      </c>
      <c r="D208" s="14" t="str">
        <f t="shared" si="6"/>
        <v>AfterSupported Living with accommodationCollens Healthcare Ltd</v>
      </c>
      <c r="E208" s="15">
        <v>23.3</v>
      </c>
      <c r="F208" s="141">
        <v>24</v>
      </c>
      <c r="G208" s="14" t="str">
        <f t="shared" si="7"/>
        <v>AfterSupported Living with accommodationCollens Healthcare LtdSleep-in</v>
      </c>
      <c r="H208" s="141">
        <v>124.43</v>
      </c>
      <c r="I208" s="141">
        <v>871.01</v>
      </c>
      <c r="J208" s="140" t="s">
        <v>225</v>
      </c>
      <c r="K208" s="201" t="s">
        <v>252</v>
      </c>
    </row>
    <row r="209" spans="1:11" ht="14.5" hidden="1" x14ac:dyDescent="0.35">
      <c r="A209" s="201" t="s">
        <v>248</v>
      </c>
      <c r="B209" s="14" t="s">
        <v>239</v>
      </c>
      <c r="C209" s="14" t="s">
        <v>195</v>
      </c>
      <c r="D209" s="14" t="str">
        <f t="shared" si="6"/>
        <v>AfterSupported Living with accommodationCommit2Care Services Ltd</v>
      </c>
      <c r="E209" s="15">
        <v>23.3</v>
      </c>
      <c r="F209" s="141">
        <v>24</v>
      </c>
      <c r="G209" s="14" t="str">
        <f t="shared" si="7"/>
        <v>AfterSupported Living with accommodationCommit2Care Services LtdSleep-in</v>
      </c>
      <c r="H209" s="141">
        <v>124.43</v>
      </c>
      <c r="I209" s="141">
        <v>871.01</v>
      </c>
      <c r="J209" s="140" t="s">
        <v>225</v>
      </c>
      <c r="K209" s="201" t="s">
        <v>252</v>
      </c>
    </row>
    <row r="210" spans="1:11" ht="14.5" x14ac:dyDescent="0.35">
      <c r="A210" s="201" t="s">
        <v>248</v>
      </c>
      <c r="B210" s="14" t="s">
        <v>239</v>
      </c>
      <c r="C210" s="14" t="s">
        <v>11</v>
      </c>
      <c r="D210" s="14" t="str">
        <f t="shared" si="6"/>
        <v>AfterSupported Living with accommodationCIC</v>
      </c>
      <c r="E210" s="15">
        <v>23.3</v>
      </c>
      <c r="F210" s="141">
        <v>24</v>
      </c>
      <c r="G210" s="14" t="str">
        <f t="shared" si="7"/>
        <v>AfterSupported Living with accommodationCICSleep-in</v>
      </c>
      <c r="H210" s="141">
        <v>124.43</v>
      </c>
      <c r="I210" s="141">
        <v>871.01</v>
      </c>
      <c r="J210" s="140" t="s">
        <v>225</v>
      </c>
      <c r="K210" s="201" t="s">
        <v>252</v>
      </c>
    </row>
    <row r="211" spans="1:11" ht="14.5" hidden="1" x14ac:dyDescent="0.35">
      <c r="A211" s="201" t="s">
        <v>248</v>
      </c>
      <c r="B211" s="14" t="s">
        <v>239</v>
      </c>
      <c r="C211" s="14" t="s">
        <v>196</v>
      </c>
      <c r="D211" s="14" t="str">
        <f t="shared" si="6"/>
        <v>AfterSupported Living with accommodationDepax Ltd</v>
      </c>
      <c r="E211" s="15">
        <v>23.3</v>
      </c>
      <c r="F211" s="141">
        <v>24</v>
      </c>
      <c r="G211" s="14" t="str">
        <f t="shared" si="7"/>
        <v>AfterSupported Living with accommodationDepax LtdSleep-in</v>
      </c>
      <c r="H211" s="141">
        <v>124.43</v>
      </c>
      <c r="I211" s="141">
        <v>871.01</v>
      </c>
      <c r="J211" s="140" t="s">
        <v>226</v>
      </c>
      <c r="K211" s="201" t="s">
        <v>252</v>
      </c>
    </row>
    <row r="212" spans="1:11" ht="14.5" hidden="1" x14ac:dyDescent="0.35">
      <c r="A212" s="201" t="s">
        <v>248</v>
      </c>
      <c r="B212" s="14" t="s">
        <v>239</v>
      </c>
      <c r="C212" s="14" t="s">
        <v>197</v>
      </c>
      <c r="D212" s="14" t="str">
        <f t="shared" si="6"/>
        <v>AfterSupported Living with accommodationDesla Care Agency Ltd</v>
      </c>
      <c r="E212" s="15">
        <v>23.3</v>
      </c>
      <c r="F212" s="141">
        <v>24</v>
      </c>
      <c r="G212" s="14" t="str">
        <f t="shared" si="7"/>
        <v>AfterSupported Living with accommodationDesla Care Agency LtdSleep-in</v>
      </c>
      <c r="H212" s="141">
        <v>124.43</v>
      </c>
      <c r="I212" s="141">
        <v>871.01</v>
      </c>
      <c r="J212" s="140" t="s">
        <v>226</v>
      </c>
      <c r="K212" s="201" t="s">
        <v>252</v>
      </c>
    </row>
    <row r="213" spans="1:11" ht="14.5" hidden="1" x14ac:dyDescent="0.35">
      <c r="A213" s="201" t="s">
        <v>248</v>
      </c>
      <c r="B213" s="14" t="s">
        <v>239</v>
      </c>
      <c r="C213" s="14" t="s">
        <v>166</v>
      </c>
      <c r="D213" s="14" t="str">
        <f t="shared" si="6"/>
        <v>AfterSupported Living with accommodationEden Supported Living Ltd</v>
      </c>
      <c r="E213" s="15">
        <v>23.3</v>
      </c>
      <c r="F213" s="141">
        <v>24</v>
      </c>
      <c r="G213" s="14" t="str">
        <f t="shared" si="7"/>
        <v>AfterSupported Living with accommodationEden Supported Living LtdSleep-in</v>
      </c>
      <c r="H213" s="138">
        <v>110.62</v>
      </c>
      <c r="I213" s="138">
        <v>774.32</v>
      </c>
      <c r="J213" s="140" t="s">
        <v>225</v>
      </c>
      <c r="K213" s="201" t="s">
        <v>252</v>
      </c>
    </row>
    <row r="214" spans="1:11" ht="14.5" hidden="1" x14ac:dyDescent="0.35">
      <c r="A214" s="201" t="s">
        <v>248</v>
      </c>
      <c r="B214" s="14" t="s">
        <v>239</v>
      </c>
      <c r="C214" s="14" t="s">
        <v>198</v>
      </c>
      <c r="D214" s="14" t="str">
        <f t="shared" si="6"/>
        <v>AfterSupported Living with accommodationErrand Plus &amp; Personal Services Business</v>
      </c>
      <c r="E214" s="15">
        <v>23.3</v>
      </c>
      <c r="F214" s="141">
        <v>24</v>
      </c>
      <c r="G214" s="14" t="str">
        <f t="shared" si="7"/>
        <v>AfterSupported Living with accommodationErrand Plus &amp; Personal Services BusinessSleep-in</v>
      </c>
      <c r="H214" s="138">
        <v>124.43</v>
      </c>
      <c r="I214" s="138">
        <v>871.01</v>
      </c>
      <c r="J214" s="140" t="s">
        <v>226</v>
      </c>
      <c r="K214" s="201" t="s">
        <v>252</v>
      </c>
    </row>
    <row r="215" spans="1:11" ht="14.5" hidden="1" x14ac:dyDescent="0.35">
      <c r="A215" s="201" t="s">
        <v>248</v>
      </c>
      <c r="B215" s="14" t="s">
        <v>239</v>
      </c>
      <c r="C215" s="14" t="s">
        <v>336</v>
      </c>
      <c r="D215" s="14" t="str">
        <f t="shared" si="6"/>
        <v xml:space="preserve">AfterSupported Living with accommodationExceed Support Services </v>
      </c>
      <c r="E215" s="15">
        <v>23.3</v>
      </c>
      <c r="F215" s="141">
        <v>24</v>
      </c>
      <c r="G215" s="14" t="str">
        <f t="shared" si="7"/>
        <v>AfterSupported Living with accommodationExceed Support Services Sleep-in</v>
      </c>
      <c r="H215" s="138">
        <v>124.43</v>
      </c>
      <c r="I215" s="138">
        <v>871.01</v>
      </c>
      <c r="J215" s="140" t="s">
        <v>226</v>
      </c>
      <c r="K215" s="201" t="s">
        <v>252</v>
      </c>
    </row>
    <row r="216" spans="1:11" ht="14.5" hidden="1" x14ac:dyDescent="0.35">
      <c r="A216" s="273" t="s">
        <v>248</v>
      </c>
      <c r="B216" s="274" t="s">
        <v>239</v>
      </c>
      <c r="C216" s="264" t="s">
        <v>337</v>
      </c>
      <c r="D216" s="274" t="str">
        <f t="shared" si="6"/>
        <v>AfterSupported Living with accommodationFestygreat Divers Enterprise Ltd(t/a Festygreat Healthcare)</v>
      </c>
      <c r="E216" s="275">
        <v>23.3</v>
      </c>
      <c r="F216" s="265">
        <v>24</v>
      </c>
      <c r="G216" s="274" t="str">
        <f t="shared" si="7"/>
        <v>AfterSupported Living with accommodationFestygreat Divers Enterprise Ltd(t/a Festygreat Healthcare)Sleep-in</v>
      </c>
      <c r="H216" s="276">
        <v>124.43</v>
      </c>
      <c r="I216" s="276">
        <v>871.01</v>
      </c>
      <c r="J216" s="264" t="s">
        <v>338</v>
      </c>
      <c r="K216" s="201" t="s">
        <v>252</v>
      </c>
    </row>
    <row r="217" spans="1:11" ht="14.5" hidden="1" x14ac:dyDescent="0.35">
      <c r="A217" s="201" t="s">
        <v>248</v>
      </c>
      <c r="B217" s="14" t="s">
        <v>239</v>
      </c>
      <c r="C217" s="14" t="s">
        <v>12</v>
      </c>
      <c r="D217" s="14" t="str">
        <f t="shared" si="6"/>
        <v>AfterSupported Living with accommodationFitzroy</v>
      </c>
      <c r="E217" s="158">
        <v>23.3</v>
      </c>
      <c r="F217" s="138">
        <v>24</v>
      </c>
      <c r="G217" s="14" t="str">
        <f t="shared" si="7"/>
        <v>AfterSupported Living with accommodationFitzroySleep-in</v>
      </c>
      <c r="H217" s="141">
        <v>124.43</v>
      </c>
      <c r="I217" s="141">
        <v>871.01</v>
      </c>
      <c r="J217" s="140" t="s">
        <v>225</v>
      </c>
      <c r="K217" s="201" t="s">
        <v>252</v>
      </c>
    </row>
    <row r="218" spans="1:11" ht="14.5" hidden="1" x14ac:dyDescent="0.35">
      <c r="A218" s="201" t="s">
        <v>248</v>
      </c>
      <c r="B218" s="14" t="s">
        <v>239</v>
      </c>
      <c r="C218" s="14" t="s">
        <v>63</v>
      </c>
      <c r="D218" s="14" t="str">
        <f t="shared" si="6"/>
        <v>AfterSupported Living with accommodationFosse Healthcare (CSE)</v>
      </c>
      <c r="E218" s="15">
        <v>23.3</v>
      </c>
      <c r="F218" s="141">
        <v>24</v>
      </c>
      <c r="G218" s="14" t="str">
        <f t="shared" si="7"/>
        <v>AfterSupported Living with accommodationFosse Healthcare (CSE)Sleep-in</v>
      </c>
      <c r="H218" s="141">
        <v>124.43</v>
      </c>
      <c r="I218" s="141">
        <v>871.01</v>
      </c>
      <c r="J218" s="140" t="s">
        <v>225</v>
      </c>
      <c r="K218" s="201" t="s">
        <v>252</v>
      </c>
    </row>
    <row r="219" spans="1:11" ht="14.5" hidden="1" x14ac:dyDescent="0.35">
      <c r="A219" s="201" t="s">
        <v>248</v>
      </c>
      <c r="B219" s="14" t="s">
        <v>239</v>
      </c>
      <c r="C219" s="14" t="s">
        <v>199</v>
      </c>
      <c r="D219" s="14" t="str">
        <f t="shared" si="6"/>
        <v>AfterSupported Living with accommodationFredas Care Ltd</v>
      </c>
      <c r="E219" s="15">
        <v>23.3</v>
      </c>
      <c r="F219" s="141">
        <v>24</v>
      </c>
      <c r="G219" s="14" t="str">
        <f t="shared" si="7"/>
        <v>AfterSupported Living with accommodationFredas Care LtdSleep-in</v>
      </c>
      <c r="H219" s="141">
        <v>124.43</v>
      </c>
      <c r="I219" s="141">
        <v>871.01</v>
      </c>
      <c r="J219" s="140" t="s">
        <v>225</v>
      </c>
      <c r="K219" s="201" t="s">
        <v>252</v>
      </c>
    </row>
    <row r="220" spans="1:11" ht="14.5" hidden="1" x14ac:dyDescent="0.35">
      <c r="A220" s="201" t="s">
        <v>248</v>
      </c>
      <c r="B220" s="14" t="s">
        <v>239</v>
      </c>
      <c r="C220" s="14" t="s">
        <v>280</v>
      </c>
      <c r="D220" s="14" t="str">
        <f t="shared" si="6"/>
        <v>AfterSupported Living with accommodationFuture Home Care</v>
      </c>
      <c r="E220" s="15">
        <v>23.3</v>
      </c>
      <c r="F220" s="141">
        <v>24</v>
      </c>
      <c r="G220" s="14" t="str">
        <f t="shared" si="7"/>
        <v>AfterSupported Living with accommodationFuture Home CareSleep-in</v>
      </c>
      <c r="H220" s="141">
        <v>124.43</v>
      </c>
      <c r="I220" s="141">
        <v>871.01</v>
      </c>
      <c r="J220" s="140" t="s">
        <v>225</v>
      </c>
      <c r="K220" s="201" t="s">
        <v>252</v>
      </c>
    </row>
    <row r="221" spans="1:11" ht="14.5" hidden="1" x14ac:dyDescent="0.35">
      <c r="A221" s="201" t="s">
        <v>248</v>
      </c>
      <c r="B221" s="14" t="s">
        <v>239</v>
      </c>
      <c r="C221" s="14" t="s">
        <v>200</v>
      </c>
      <c r="D221" s="14" t="str">
        <f t="shared" si="6"/>
        <v>AfterSupported Living with accommodationGemini Exclusive Care</v>
      </c>
      <c r="E221" s="15">
        <v>23.3</v>
      </c>
      <c r="F221" s="141">
        <v>24</v>
      </c>
      <c r="G221" s="14" t="str">
        <f t="shared" si="7"/>
        <v>AfterSupported Living with accommodationGemini Exclusive CareSleep-in</v>
      </c>
      <c r="H221" s="141">
        <v>124.43</v>
      </c>
      <c r="I221" s="141">
        <v>871.01</v>
      </c>
      <c r="J221" s="140" t="s">
        <v>225</v>
      </c>
      <c r="K221" s="201" t="s">
        <v>252</v>
      </c>
    </row>
    <row r="222" spans="1:11" ht="14.5" hidden="1" x14ac:dyDescent="0.35">
      <c r="A222" s="201" t="s">
        <v>248</v>
      </c>
      <c r="B222" s="14" t="s">
        <v>239</v>
      </c>
      <c r="C222" s="14" t="s">
        <v>201</v>
      </c>
      <c r="D222" s="14" t="str">
        <f t="shared" si="6"/>
        <v>AfterSupported Living with accommodationGlobal Support &amp; Care Ltd</v>
      </c>
      <c r="E222" s="15">
        <v>23.3</v>
      </c>
      <c r="F222" s="141">
        <v>24</v>
      </c>
      <c r="G222" s="14" t="str">
        <f t="shared" si="7"/>
        <v>AfterSupported Living with accommodationGlobal Support &amp; Care LtdSleep-in</v>
      </c>
      <c r="H222" s="141">
        <v>124.43</v>
      </c>
      <c r="I222" s="141">
        <v>871.01</v>
      </c>
      <c r="J222" s="140" t="s">
        <v>225</v>
      </c>
      <c r="K222" s="201" t="s">
        <v>252</v>
      </c>
    </row>
    <row r="223" spans="1:11" ht="14.5" hidden="1" x14ac:dyDescent="0.35">
      <c r="A223" s="201" t="s">
        <v>248</v>
      </c>
      <c r="B223" s="14" t="s">
        <v>239</v>
      </c>
      <c r="C223" s="14" t="s">
        <v>202</v>
      </c>
      <c r="D223" s="14" t="str">
        <f t="shared" si="6"/>
        <v>AfterSupported Living with accommodationGP Homecare Ltd t/a Radis Community Care</v>
      </c>
      <c r="E223" s="15">
        <v>23.3</v>
      </c>
      <c r="F223" s="141">
        <v>24</v>
      </c>
      <c r="G223" s="14" t="str">
        <f t="shared" si="7"/>
        <v>AfterSupported Living with accommodationGP Homecare Ltd t/a Radis Community CareSleep-in</v>
      </c>
      <c r="H223" s="141">
        <v>124.43</v>
      </c>
      <c r="I223" s="141">
        <v>871.01</v>
      </c>
      <c r="J223" s="140" t="s">
        <v>225</v>
      </c>
      <c r="K223" s="201" t="s">
        <v>252</v>
      </c>
    </row>
    <row r="224" spans="1:11" ht="14.5" hidden="1" x14ac:dyDescent="0.35">
      <c r="A224" s="201" t="s">
        <v>248</v>
      </c>
      <c r="B224" s="14" t="s">
        <v>239</v>
      </c>
      <c r="C224" s="14" t="s">
        <v>203</v>
      </c>
      <c r="D224" s="14" t="str">
        <f t="shared" si="6"/>
        <v>AfterSupported Living with accommodationGSS Healthcare Ltd</v>
      </c>
      <c r="E224" s="15">
        <v>23.3</v>
      </c>
      <c r="F224" s="141">
        <v>24</v>
      </c>
      <c r="G224" s="14" t="str">
        <f t="shared" si="7"/>
        <v>AfterSupported Living with accommodationGSS Healthcare LtdSleep-in</v>
      </c>
      <c r="H224" s="141">
        <v>124.43</v>
      </c>
      <c r="I224" s="141">
        <v>871.01</v>
      </c>
      <c r="J224" s="140" t="s">
        <v>225</v>
      </c>
      <c r="K224" s="201" t="s">
        <v>252</v>
      </c>
    </row>
    <row r="225" spans="1:11" ht="14.5" hidden="1" x14ac:dyDescent="0.35">
      <c r="A225" s="201" t="s">
        <v>248</v>
      </c>
      <c r="B225" s="14" t="s">
        <v>239</v>
      </c>
      <c r="C225" s="14" t="s">
        <v>204</v>
      </c>
      <c r="D225" s="14" t="str">
        <f t="shared" si="6"/>
        <v>AfterSupported Living with accommodationHearts at Home Homecare Ltd</v>
      </c>
      <c r="E225" s="15">
        <v>23.3</v>
      </c>
      <c r="F225" s="141">
        <v>24</v>
      </c>
      <c r="G225" s="14" t="str">
        <f t="shared" si="7"/>
        <v>AfterSupported Living with accommodationHearts at Home Homecare LtdSleep-in</v>
      </c>
      <c r="H225" s="141">
        <v>124.43</v>
      </c>
      <c r="I225" s="141">
        <v>871.01</v>
      </c>
      <c r="J225" s="140" t="s">
        <v>225</v>
      </c>
      <c r="K225" s="201" t="s">
        <v>252</v>
      </c>
    </row>
    <row r="226" spans="1:11" ht="14.5" hidden="1" x14ac:dyDescent="0.35">
      <c r="A226" s="201" t="s">
        <v>248</v>
      </c>
      <c r="B226" s="14" t="s">
        <v>239</v>
      </c>
      <c r="C226" s="14" t="s">
        <v>205</v>
      </c>
      <c r="D226" s="14" t="str">
        <f t="shared" si="6"/>
        <v>AfterSupported Living with accommodationHeathcotes (BDT)</v>
      </c>
      <c r="E226" s="15">
        <v>23.3</v>
      </c>
      <c r="F226" s="141">
        <v>24</v>
      </c>
      <c r="G226" s="14" t="str">
        <f t="shared" si="7"/>
        <v>AfterSupported Living with accommodationHeathcotes (BDT)Sleep-in</v>
      </c>
      <c r="H226" s="141">
        <v>124.43</v>
      </c>
      <c r="I226" s="141">
        <v>871.01</v>
      </c>
      <c r="J226" s="140" t="s">
        <v>225</v>
      </c>
      <c r="K226" s="201" t="s">
        <v>252</v>
      </c>
    </row>
    <row r="227" spans="1:11" ht="14.5" hidden="1" x14ac:dyDescent="0.35">
      <c r="A227" s="201" t="s">
        <v>248</v>
      </c>
      <c r="B227" s="14" t="s">
        <v>239</v>
      </c>
      <c r="C227" s="14" t="s">
        <v>206</v>
      </c>
      <c r="D227" s="14" t="str">
        <f t="shared" si="6"/>
        <v>AfterSupported Living with accommodationJes Care Services Ltd</v>
      </c>
      <c r="E227" s="15">
        <v>23.3</v>
      </c>
      <c r="F227" s="141">
        <v>24</v>
      </c>
      <c r="G227" s="14" t="str">
        <f t="shared" si="7"/>
        <v>AfterSupported Living with accommodationJes Care Services LtdSleep-in</v>
      </c>
      <c r="H227" s="141">
        <v>124.43</v>
      </c>
      <c r="I227" s="141">
        <v>871.01</v>
      </c>
      <c r="J227" s="140" t="s">
        <v>226</v>
      </c>
      <c r="K227" s="201" t="s">
        <v>252</v>
      </c>
    </row>
    <row r="228" spans="1:11" ht="14.5" hidden="1" x14ac:dyDescent="0.35">
      <c r="A228" s="201" t="s">
        <v>248</v>
      </c>
      <c r="B228" s="14" t="s">
        <v>239</v>
      </c>
      <c r="C228" s="14" t="s">
        <v>60</v>
      </c>
      <c r="D228" s="14" t="str">
        <f t="shared" si="6"/>
        <v>AfterSupported Living with accommodationJRH Support (Nottingham)</v>
      </c>
      <c r="E228" s="15">
        <v>23.3</v>
      </c>
      <c r="F228" s="141">
        <v>24</v>
      </c>
      <c r="G228" s="14" t="str">
        <f t="shared" si="7"/>
        <v>AfterSupported Living with accommodationJRH Support (Nottingham)Sleep-in</v>
      </c>
      <c r="H228" s="141">
        <v>124.43</v>
      </c>
      <c r="I228" s="141">
        <v>871.01</v>
      </c>
      <c r="J228" s="140" t="s">
        <v>226</v>
      </c>
      <c r="K228" s="201" t="s">
        <v>252</v>
      </c>
    </row>
    <row r="229" spans="1:11" ht="14.5" hidden="1" x14ac:dyDescent="0.35">
      <c r="A229" s="201" t="s">
        <v>248</v>
      </c>
      <c r="B229" s="14" t="s">
        <v>239</v>
      </c>
      <c r="C229" s="14" t="s">
        <v>207</v>
      </c>
      <c r="D229" s="14" t="str">
        <f t="shared" si="6"/>
        <v>AfterSupported Living with accommodationKeys PCE Ltd</v>
      </c>
      <c r="E229" s="15">
        <v>23.3</v>
      </c>
      <c r="F229" s="141">
        <v>24</v>
      </c>
      <c r="G229" s="14" t="str">
        <f t="shared" si="7"/>
        <v>AfterSupported Living with accommodationKeys PCE LtdSleep-in</v>
      </c>
      <c r="H229" s="141">
        <v>124.43</v>
      </c>
      <c r="I229" s="141">
        <v>871.01</v>
      </c>
      <c r="J229" s="140" t="s">
        <v>225</v>
      </c>
      <c r="K229" s="201" t="s">
        <v>252</v>
      </c>
    </row>
    <row r="230" spans="1:11" ht="14.5" hidden="1" x14ac:dyDescent="0.35">
      <c r="A230" s="201" t="s">
        <v>248</v>
      </c>
      <c r="B230" s="14" t="s">
        <v>239</v>
      </c>
      <c r="C230" s="14" t="s">
        <v>208</v>
      </c>
      <c r="D230" s="14" t="str">
        <f t="shared" si="6"/>
        <v>AfterSupported Living with accommodationKingswell Support Service Ltd</v>
      </c>
      <c r="E230" s="15">
        <v>23.3</v>
      </c>
      <c r="F230" s="141">
        <v>24</v>
      </c>
      <c r="G230" s="14" t="str">
        <f t="shared" si="7"/>
        <v>AfterSupported Living with accommodationKingswell Support Service LtdSleep-in</v>
      </c>
      <c r="H230" s="141">
        <v>124.43</v>
      </c>
      <c r="I230" s="141">
        <v>871.01</v>
      </c>
      <c r="J230" s="140" t="s">
        <v>226</v>
      </c>
      <c r="K230" s="201" t="s">
        <v>252</v>
      </c>
    </row>
    <row r="231" spans="1:11" ht="14.5" hidden="1" x14ac:dyDescent="0.35">
      <c r="A231" s="201" t="s">
        <v>248</v>
      </c>
      <c r="B231" s="14" t="s">
        <v>239</v>
      </c>
      <c r="C231" s="14" t="s">
        <v>209</v>
      </c>
      <c r="D231" s="14" t="str">
        <f t="shared" si="6"/>
        <v>AfterSupported Living with accommodationKome Care (Management)</v>
      </c>
      <c r="E231" s="15">
        <v>23.3</v>
      </c>
      <c r="F231" s="141">
        <v>24</v>
      </c>
      <c r="G231" s="14" t="str">
        <f t="shared" si="7"/>
        <v>AfterSupported Living with accommodationKome Care (Management)Sleep-in</v>
      </c>
      <c r="H231" s="141">
        <v>124.43</v>
      </c>
      <c r="I231" s="141">
        <v>871.01</v>
      </c>
      <c r="J231" s="140" t="s">
        <v>226</v>
      </c>
      <c r="K231" s="201" t="s">
        <v>252</v>
      </c>
    </row>
    <row r="232" spans="1:11" ht="14.5" hidden="1" x14ac:dyDescent="0.35">
      <c r="A232" s="201" t="s">
        <v>248</v>
      </c>
      <c r="B232" s="14" t="s">
        <v>239</v>
      </c>
      <c r="C232" s="14" t="s">
        <v>14</v>
      </c>
      <c r="D232" s="14" t="str">
        <f t="shared" si="6"/>
        <v>AfterSupported Living with accommodationLifeways</v>
      </c>
      <c r="E232" s="15">
        <v>23.3</v>
      </c>
      <c r="F232" s="141">
        <v>24</v>
      </c>
      <c r="G232" s="14" t="str">
        <f t="shared" si="7"/>
        <v>AfterSupported Living with accommodationLifewaysSleep-in</v>
      </c>
      <c r="H232" s="141">
        <v>124.43</v>
      </c>
      <c r="I232" s="141">
        <v>871.01</v>
      </c>
      <c r="J232" s="140" t="s">
        <v>225</v>
      </c>
      <c r="K232" s="201" t="s">
        <v>252</v>
      </c>
    </row>
    <row r="233" spans="1:11" ht="14.5" hidden="1" x14ac:dyDescent="0.35">
      <c r="A233" s="201" t="s">
        <v>248</v>
      </c>
      <c r="B233" s="14" t="s">
        <v>239</v>
      </c>
      <c r="C233" s="14" t="s">
        <v>210</v>
      </c>
      <c r="D233" s="14" t="str">
        <f t="shared" si="6"/>
        <v>AfterSupported Living with accommodationLiving Well Social Care Ltd</v>
      </c>
      <c r="E233" s="15">
        <v>23.3</v>
      </c>
      <c r="F233" s="141">
        <v>24</v>
      </c>
      <c r="G233" s="14" t="str">
        <f t="shared" si="7"/>
        <v>AfterSupported Living with accommodationLiving Well Social Care LtdSleep-in</v>
      </c>
      <c r="H233" s="141">
        <v>124.43</v>
      </c>
      <c r="I233" s="141">
        <v>871.01</v>
      </c>
      <c r="J233" s="140" t="s">
        <v>226</v>
      </c>
      <c r="K233" s="201" t="s">
        <v>252</v>
      </c>
    </row>
    <row r="234" spans="1:11" ht="14.5" hidden="1" x14ac:dyDescent="0.35">
      <c r="A234" s="201" t="s">
        <v>248</v>
      </c>
      <c r="B234" s="14" t="s">
        <v>239</v>
      </c>
      <c r="C234" s="14" t="s">
        <v>211</v>
      </c>
      <c r="D234" s="14" t="str">
        <f t="shared" si="6"/>
        <v>AfterSupported Living with accommodationLyriq Healthcare Ltd</v>
      </c>
      <c r="E234" s="15">
        <v>23.3</v>
      </c>
      <c r="F234" s="141">
        <v>24</v>
      </c>
      <c r="G234" s="14" t="str">
        <f t="shared" si="7"/>
        <v>AfterSupported Living with accommodationLyriq Healthcare LtdSleep-in</v>
      </c>
      <c r="H234" s="141">
        <v>124.43</v>
      </c>
      <c r="I234" s="141">
        <v>871.01</v>
      </c>
      <c r="J234" s="140" t="s">
        <v>225</v>
      </c>
      <c r="K234" s="201" t="s">
        <v>252</v>
      </c>
    </row>
    <row r="235" spans="1:11" ht="14.5" hidden="1" x14ac:dyDescent="0.35">
      <c r="A235" s="201" t="s">
        <v>248</v>
      </c>
      <c r="B235" s="14" t="s">
        <v>239</v>
      </c>
      <c r="C235" s="14" t="s">
        <v>54</v>
      </c>
      <c r="D235" s="14" t="str">
        <f t="shared" si="6"/>
        <v>AfterSupported Living with accommodationMencap (Rushcliffe) - Royal Mencap Society</v>
      </c>
      <c r="E235" s="158">
        <v>23.3</v>
      </c>
      <c r="F235" s="138">
        <v>24</v>
      </c>
      <c r="G235" s="14" t="str">
        <f t="shared" si="7"/>
        <v>AfterSupported Living with accommodationMencap (Rushcliffe) - Royal Mencap SocietySleep-in</v>
      </c>
      <c r="H235" s="141">
        <v>124.43</v>
      </c>
      <c r="I235" s="141">
        <v>871.01</v>
      </c>
      <c r="J235" s="140" t="s">
        <v>225</v>
      </c>
      <c r="K235" s="201" t="s">
        <v>252</v>
      </c>
    </row>
    <row r="236" spans="1:11" ht="14.5" hidden="1" x14ac:dyDescent="0.35">
      <c r="A236" s="201" t="s">
        <v>248</v>
      </c>
      <c r="B236" s="14" t="s">
        <v>239</v>
      </c>
      <c r="C236" s="14" t="s">
        <v>31</v>
      </c>
      <c r="D236" s="14" t="str">
        <f t="shared" si="6"/>
        <v>AfterSupported Living with accommodationMencap Ex Partnership Home</v>
      </c>
      <c r="E236" s="158">
        <v>23.3</v>
      </c>
      <c r="F236" s="138">
        <v>24</v>
      </c>
      <c r="G236" s="14" t="str">
        <f t="shared" si="7"/>
        <v>AfterSupported Living with accommodationMencap Ex Partnership HomeSleep-in</v>
      </c>
      <c r="H236" s="141">
        <v>124.43</v>
      </c>
      <c r="I236" s="141">
        <v>871.01</v>
      </c>
      <c r="J236" s="140" t="s">
        <v>225</v>
      </c>
      <c r="K236" s="201" t="s">
        <v>252</v>
      </c>
    </row>
    <row r="237" spans="1:11" ht="14.5" hidden="1" x14ac:dyDescent="0.35">
      <c r="A237" s="201" t="s">
        <v>248</v>
      </c>
      <c r="B237" s="14" t="s">
        <v>239</v>
      </c>
      <c r="C237" s="14" t="s">
        <v>55</v>
      </c>
      <c r="D237" s="14" t="str">
        <f t="shared" si="6"/>
        <v>AfterSupported Living with accommodationMencap (Worksop) - Royal Mencap Society</v>
      </c>
      <c r="E237" s="158">
        <v>23.3</v>
      </c>
      <c r="F237" s="138">
        <v>24</v>
      </c>
      <c r="G237" s="14" t="str">
        <f t="shared" si="7"/>
        <v>AfterSupported Living with accommodationMencap (Worksop) - Royal Mencap SocietySleep-in</v>
      </c>
      <c r="H237" s="141">
        <v>124.43</v>
      </c>
      <c r="I237" s="141">
        <v>871.01</v>
      </c>
      <c r="J237" s="140" t="s">
        <v>225</v>
      </c>
      <c r="K237" s="201" t="s">
        <v>252</v>
      </c>
    </row>
    <row r="238" spans="1:11" ht="14.5" hidden="1" x14ac:dyDescent="0.35">
      <c r="A238" s="201" t="s">
        <v>248</v>
      </c>
      <c r="B238" s="14" t="s">
        <v>239</v>
      </c>
      <c r="C238" s="14" t="s">
        <v>213</v>
      </c>
      <c r="D238" s="14" t="str">
        <f t="shared" si="6"/>
        <v>AfterSupported Living with accommodationMidco Care Ltd</v>
      </c>
      <c r="E238" s="158">
        <v>23.3</v>
      </c>
      <c r="F238" s="138">
        <v>24</v>
      </c>
      <c r="G238" s="14" t="str">
        <f t="shared" si="7"/>
        <v>AfterSupported Living with accommodationMidco Care LtdSleep-in</v>
      </c>
      <c r="H238" s="141">
        <v>124.43</v>
      </c>
      <c r="I238" s="141">
        <v>871.01</v>
      </c>
      <c r="J238" s="140" t="s">
        <v>225</v>
      </c>
      <c r="K238" s="201" t="s">
        <v>252</v>
      </c>
    </row>
    <row r="239" spans="1:11" ht="14.5" hidden="1" x14ac:dyDescent="0.35">
      <c r="A239" s="201" t="s">
        <v>248</v>
      </c>
      <c r="B239" s="14" t="s">
        <v>239</v>
      </c>
      <c r="C239" s="14" t="s">
        <v>339</v>
      </c>
      <c r="D239" s="14" t="str">
        <f t="shared" si="6"/>
        <v>AfterSupported Living with accommodationMyHomecareNottingham</v>
      </c>
      <c r="E239" s="158">
        <v>23.3</v>
      </c>
      <c r="F239" s="138">
        <v>24</v>
      </c>
      <c r="G239" s="14" t="str">
        <f t="shared" si="7"/>
        <v>AfterSupported Living with accommodationMyHomecareNottinghamSleep-in</v>
      </c>
      <c r="H239" s="141">
        <v>124.43</v>
      </c>
      <c r="I239" s="141">
        <v>871.01</v>
      </c>
      <c r="J239" s="140" t="s">
        <v>225</v>
      </c>
      <c r="K239" s="201" t="s">
        <v>252</v>
      </c>
    </row>
    <row r="240" spans="1:11" ht="14.5" hidden="1" x14ac:dyDescent="0.35">
      <c r="A240" s="201" t="s">
        <v>248</v>
      </c>
      <c r="B240" s="14" t="s">
        <v>239</v>
      </c>
      <c r="C240" s="14" t="s">
        <v>214</v>
      </c>
      <c r="D240" s="14" t="str">
        <f t="shared" si="6"/>
        <v>AfterSupported Living with accommodationNardus Healthcare</v>
      </c>
      <c r="E240" s="158">
        <v>23.3</v>
      </c>
      <c r="F240" s="138">
        <v>24</v>
      </c>
      <c r="G240" s="14" t="str">
        <f t="shared" si="7"/>
        <v>AfterSupported Living with accommodationNardus HealthcareSleep-in</v>
      </c>
      <c r="H240" s="141">
        <v>124.43</v>
      </c>
      <c r="I240" s="141">
        <v>871.01</v>
      </c>
      <c r="J240" s="140" t="s">
        <v>225</v>
      </c>
      <c r="K240" s="201" t="s">
        <v>252</v>
      </c>
    </row>
    <row r="241" spans="1:11" ht="14.5" hidden="1" x14ac:dyDescent="0.35">
      <c r="A241" s="201" t="s">
        <v>248</v>
      </c>
      <c r="B241" s="14" t="s">
        <v>239</v>
      </c>
      <c r="C241" s="14" t="s">
        <v>15</v>
      </c>
      <c r="D241" s="14" t="str">
        <f t="shared" si="6"/>
        <v>AfterSupported Living with accommodationNCHA</v>
      </c>
      <c r="E241" s="15">
        <v>23.3</v>
      </c>
      <c r="F241" s="141">
        <v>24</v>
      </c>
      <c r="G241" s="14" t="str">
        <f t="shared" si="7"/>
        <v>AfterSupported Living with accommodationNCHASleep-in</v>
      </c>
      <c r="H241" s="141">
        <v>124.43</v>
      </c>
      <c r="I241" s="141">
        <v>871.01</v>
      </c>
      <c r="J241" s="140" t="s">
        <v>225</v>
      </c>
      <c r="K241" s="201" t="s">
        <v>252</v>
      </c>
    </row>
    <row r="242" spans="1:11" ht="14.5" hidden="1" x14ac:dyDescent="0.35">
      <c r="A242" s="201" t="s">
        <v>248</v>
      </c>
      <c r="B242" s="14" t="s">
        <v>239</v>
      </c>
      <c r="C242" s="14" t="s">
        <v>227</v>
      </c>
      <c r="D242" s="14" t="str">
        <f t="shared" si="6"/>
        <v>AfterSupported Living with accommodationPerthyn</v>
      </c>
      <c r="E242" s="15">
        <v>23.3</v>
      </c>
      <c r="F242" s="141">
        <v>24</v>
      </c>
      <c r="G242" s="14" t="str">
        <f t="shared" si="7"/>
        <v>AfterSupported Living with accommodationPerthynSleep-in</v>
      </c>
      <c r="H242" s="141">
        <v>124.43</v>
      </c>
      <c r="I242" s="141">
        <v>871.01</v>
      </c>
      <c r="J242" s="140" t="s">
        <v>225</v>
      </c>
      <c r="K242" s="201" t="s">
        <v>252</v>
      </c>
    </row>
    <row r="243" spans="1:11" ht="14.5" hidden="1" x14ac:dyDescent="0.35">
      <c r="A243" s="201" t="s">
        <v>248</v>
      </c>
      <c r="B243" s="14" t="s">
        <v>239</v>
      </c>
      <c r="C243" s="14" t="s">
        <v>341</v>
      </c>
      <c r="D243" s="14" t="str">
        <f t="shared" si="6"/>
        <v xml:space="preserve">AfterSupported Living with accommodationPotens </v>
      </c>
      <c r="E243" s="15">
        <v>23.3</v>
      </c>
      <c r="F243" s="141">
        <v>24</v>
      </c>
      <c r="G243" s="14" t="str">
        <f t="shared" si="7"/>
        <v>AfterSupported Living with accommodationPotens Sleep-in</v>
      </c>
      <c r="H243" s="141">
        <v>124.43</v>
      </c>
      <c r="I243" s="141">
        <v>871.01</v>
      </c>
      <c r="J243" s="140" t="s">
        <v>225</v>
      </c>
      <c r="K243" s="201" t="s">
        <v>252</v>
      </c>
    </row>
    <row r="244" spans="1:11" ht="14.5" hidden="1" x14ac:dyDescent="0.35">
      <c r="A244" s="201" t="s">
        <v>248</v>
      </c>
      <c r="B244" s="14" t="s">
        <v>239</v>
      </c>
      <c r="C244" s="14" t="s">
        <v>340</v>
      </c>
      <c r="D244" s="14" t="str">
        <f t="shared" si="6"/>
        <v xml:space="preserve">AfterSupported Living with accommodationPrinciple Support </v>
      </c>
      <c r="E244" s="15">
        <v>23.3</v>
      </c>
      <c r="F244" s="141">
        <v>24</v>
      </c>
      <c r="G244" s="14" t="str">
        <f t="shared" si="7"/>
        <v>AfterSupported Living with accommodationPrinciple Support Sleep-in</v>
      </c>
      <c r="H244" s="141">
        <v>124.43</v>
      </c>
      <c r="I244" s="141">
        <v>871.01</v>
      </c>
      <c r="J244" s="140" t="s">
        <v>225</v>
      </c>
      <c r="K244" s="201" t="s">
        <v>252</v>
      </c>
    </row>
    <row r="245" spans="1:11" ht="14.5" hidden="1" x14ac:dyDescent="0.35">
      <c r="A245" s="201" t="s">
        <v>248</v>
      </c>
      <c r="B245" s="14" t="s">
        <v>239</v>
      </c>
      <c r="C245" s="14" t="s">
        <v>217</v>
      </c>
      <c r="D245" s="14" t="str">
        <f t="shared" si="6"/>
        <v>AfterSupported Living with accommodationProtea Care Homes</v>
      </c>
      <c r="E245" s="15">
        <v>23.3</v>
      </c>
      <c r="F245" s="141">
        <v>24</v>
      </c>
      <c r="G245" s="14" t="str">
        <f t="shared" si="7"/>
        <v>AfterSupported Living with accommodationProtea Care HomesSleep-in</v>
      </c>
      <c r="H245" s="141">
        <v>124.43</v>
      </c>
      <c r="I245" s="141">
        <v>871.01</v>
      </c>
      <c r="J245" s="140" t="s">
        <v>225</v>
      </c>
      <c r="K245" s="201" t="s">
        <v>252</v>
      </c>
    </row>
    <row r="246" spans="1:11" ht="14.5" hidden="1" x14ac:dyDescent="0.35">
      <c r="A246" s="201" t="s">
        <v>248</v>
      </c>
      <c r="B246" s="14" t="s">
        <v>239</v>
      </c>
      <c r="C246" s="14" t="s">
        <v>218</v>
      </c>
      <c r="D246" s="14" t="str">
        <f t="shared" si="6"/>
        <v>AfterSupported Living with accommodationQuality Care (EM)</v>
      </c>
      <c r="E246" s="15">
        <v>23.3</v>
      </c>
      <c r="F246" s="141">
        <v>24</v>
      </c>
      <c r="G246" s="14" t="str">
        <f t="shared" si="7"/>
        <v>AfterSupported Living with accommodationQuality Care (EM)Sleep-in</v>
      </c>
      <c r="H246" s="141">
        <v>124.43</v>
      </c>
      <c r="I246" s="141">
        <v>871.01</v>
      </c>
      <c r="J246" s="140" t="s">
        <v>225</v>
      </c>
      <c r="K246" s="201" t="s">
        <v>252</v>
      </c>
    </row>
    <row r="247" spans="1:11" ht="14.5" hidden="1" x14ac:dyDescent="0.35">
      <c r="A247" s="201" t="s">
        <v>248</v>
      </c>
      <c r="B247" s="14" t="s">
        <v>239</v>
      </c>
      <c r="C247" s="14" t="s">
        <v>77</v>
      </c>
      <c r="D247" s="14" t="str">
        <f t="shared" si="6"/>
        <v>AfterSupported Living with accommodationReach Learning Disability Care (CiC)</v>
      </c>
      <c r="E247" s="175">
        <v>23.3</v>
      </c>
      <c r="F247" s="138">
        <v>24</v>
      </c>
      <c r="G247" s="14" t="str">
        <f t="shared" si="7"/>
        <v>AfterSupported Living with accommodationReach Learning Disability Care (CiC)Sleep-in</v>
      </c>
      <c r="H247" s="141">
        <v>124.43</v>
      </c>
      <c r="I247" s="141">
        <v>871.01</v>
      </c>
      <c r="J247" s="140" t="s">
        <v>226</v>
      </c>
      <c r="K247" s="201" t="s">
        <v>252</v>
      </c>
    </row>
    <row r="248" spans="1:11" ht="14.5" hidden="1" x14ac:dyDescent="0.35">
      <c r="A248" s="201" t="s">
        <v>248</v>
      </c>
      <c r="B248" s="14" t="s">
        <v>239</v>
      </c>
      <c r="C248" s="14" t="s">
        <v>168</v>
      </c>
      <c r="D248" s="14" t="str">
        <f t="shared" si="6"/>
        <v>AfterSupported Living with accommodationReal Life Options</v>
      </c>
      <c r="E248" s="175">
        <v>23.3</v>
      </c>
      <c r="F248" s="138">
        <v>24</v>
      </c>
      <c r="G248" s="14" t="str">
        <f t="shared" si="7"/>
        <v>AfterSupported Living with accommodationReal Life OptionsSleep-in</v>
      </c>
      <c r="H248" s="141">
        <v>124.43</v>
      </c>
      <c r="I248" s="141">
        <v>871.01</v>
      </c>
      <c r="J248" s="140" t="s">
        <v>226</v>
      </c>
      <c r="K248" s="201" t="s">
        <v>252</v>
      </c>
    </row>
    <row r="249" spans="1:11" ht="14.5" hidden="1" x14ac:dyDescent="0.35">
      <c r="A249" s="201" t="s">
        <v>248</v>
      </c>
      <c r="B249" s="14" t="s">
        <v>239</v>
      </c>
      <c r="C249" s="14" t="s">
        <v>219</v>
      </c>
      <c r="D249" s="14" t="str">
        <f t="shared" si="6"/>
        <v>AfterSupported Living with accommodationSafe Sanctuary Living Ltd</v>
      </c>
      <c r="E249" s="175">
        <v>23.3</v>
      </c>
      <c r="F249" s="138">
        <v>24</v>
      </c>
      <c r="G249" s="14" t="str">
        <f t="shared" si="7"/>
        <v>AfterSupported Living with accommodationSafe Sanctuary Living LtdSleep-in</v>
      </c>
      <c r="H249" s="141">
        <v>124.43</v>
      </c>
      <c r="I249" s="141">
        <v>871.01</v>
      </c>
      <c r="J249" s="140" t="s">
        <v>225</v>
      </c>
      <c r="K249" s="201" t="s">
        <v>252</v>
      </c>
    </row>
    <row r="250" spans="1:11" ht="14.5" hidden="1" x14ac:dyDescent="0.35">
      <c r="A250" s="201" t="s">
        <v>248</v>
      </c>
      <c r="B250" s="14" t="s">
        <v>239</v>
      </c>
      <c r="C250" s="14" t="s">
        <v>64</v>
      </c>
      <c r="D250" s="14" t="str">
        <f t="shared" si="6"/>
        <v>AfterSupported Living with accommodationSanctuary - Corner House Supported Living</v>
      </c>
      <c r="E250" s="175">
        <v>23.3</v>
      </c>
      <c r="F250" s="138">
        <v>24</v>
      </c>
      <c r="G250" s="14" t="str">
        <f t="shared" si="7"/>
        <v>AfterSupported Living with accommodationSanctuary - Corner House Supported LivingSleep-in</v>
      </c>
      <c r="H250" s="141">
        <v>124.43</v>
      </c>
      <c r="I250" s="141">
        <v>871.01</v>
      </c>
      <c r="J250" s="140" t="s">
        <v>226</v>
      </c>
      <c r="K250" s="201" t="s">
        <v>252</v>
      </c>
    </row>
    <row r="251" spans="1:11" ht="14.5" hidden="1" x14ac:dyDescent="0.35">
      <c r="A251" s="201" t="s">
        <v>248</v>
      </c>
      <c r="B251" s="14" t="s">
        <v>239</v>
      </c>
      <c r="C251" s="14" t="s">
        <v>220</v>
      </c>
      <c r="D251" s="14" t="str">
        <f t="shared" si="6"/>
        <v>AfterSupported Living with accommodationSentricare East Midlands Ltd</v>
      </c>
      <c r="E251" s="175">
        <v>23.3</v>
      </c>
      <c r="F251" s="138">
        <v>24</v>
      </c>
      <c r="G251" s="14" t="str">
        <f t="shared" si="7"/>
        <v>AfterSupported Living with accommodationSentricare East Midlands LtdSleep-in</v>
      </c>
      <c r="H251" s="141">
        <v>124.43</v>
      </c>
      <c r="I251" s="141">
        <v>871.01</v>
      </c>
      <c r="J251" s="140" t="s">
        <v>226</v>
      </c>
      <c r="K251" s="225" t="s">
        <v>252</v>
      </c>
    </row>
    <row r="252" spans="1:11" ht="14.5" hidden="1" x14ac:dyDescent="0.35">
      <c r="A252" s="201" t="s">
        <v>248</v>
      </c>
      <c r="B252" s="14" t="s">
        <v>239</v>
      </c>
      <c r="C252" s="14" t="s">
        <v>221</v>
      </c>
      <c r="D252" s="14" t="str">
        <f t="shared" si="6"/>
        <v>AfterSupported Living with accommodationServis Personal Ltd</v>
      </c>
      <c r="E252" s="175">
        <v>23.3</v>
      </c>
      <c r="F252" s="138">
        <v>24</v>
      </c>
      <c r="G252" s="14" t="str">
        <f t="shared" si="7"/>
        <v>AfterSupported Living with accommodationServis Personal LtdSleep-in</v>
      </c>
      <c r="H252" s="141">
        <v>124.43</v>
      </c>
      <c r="I252" s="141">
        <v>871.01</v>
      </c>
      <c r="J252" s="140" t="s">
        <v>225</v>
      </c>
      <c r="K252" s="202" t="s">
        <v>252</v>
      </c>
    </row>
    <row r="253" spans="1:11" ht="14.5" hidden="1" x14ac:dyDescent="0.35">
      <c r="A253" s="201" t="s">
        <v>248</v>
      </c>
      <c r="B253" s="14" t="s">
        <v>239</v>
      </c>
      <c r="C253" s="14" t="s">
        <v>119</v>
      </c>
      <c r="D253" s="14" t="str">
        <f t="shared" si="6"/>
        <v>AfterSupported Living with accommodationSpace Inclusive</v>
      </c>
      <c r="E253" s="186">
        <v>23.3</v>
      </c>
      <c r="F253" s="138">
        <v>24</v>
      </c>
      <c r="G253" s="14" t="str">
        <f t="shared" si="7"/>
        <v>AfterSupported Living with accommodationSpace InclusiveSleep-in</v>
      </c>
      <c r="H253" s="141">
        <v>124.43</v>
      </c>
      <c r="I253" s="141">
        <v>871.01</v>
      </c>
      <c r="J253" s="140" t="s">
        <v>225</v>
      </c>
      <c r="K253" s="203" t="s">
        <v>252</v>
      </c>
    </row>
    <row r="254" spans="1:11" ht="14.5" hidden="1" x14ac:dyDescent="0.35">
      <c r="A254" s="201" t="s">
        <v>248</v>
      </c>
      <c r="B254" s="14" t="s">
        <v>239</v>
      </c>
      <c r="C254" s="14" t="s">
        <v>222</v>
      </c>
      <c r="D254" s="14" t="str">
        <f t="shared" si="6"/>
        <v>AfterSupported Living with accommodationThe Silver Ark Healthcare Ltd</v>
      </c>
      <c r="E254" s="15">
        <v>23.3</v>
      </c>
      <c r="F254" s="141">
        <v>24</v>
      </c>
      <c r="G254" s="14" t="str">
        <f t="shared" si="7"/>
        <v>AfterSupported Living with accommodationThe Silver Ark Healthcare LtdSleep-in</v>
      </c>
      <c r="H254" s="141">
        <v>124.43</v>
      </c>
      <c r="I254" s="141">
        <v>871.01</v>
      </c>
      <c r="J254" s="140" t="s">
        <v>225</v>
      </c>
      <c r="K254" s="203" t="s">
        <v>252</v>
      </c>
    </row>
    <row r="255" spans="1:11" ht="14.5" hidden="1" x14ac:dyDescent="0.35">
      <c r="A255" s="201" t="s">
        <v>248</v>
      </c>
      <c r="B255" s="14" t="s">
        <v>239</v>
      </c>
      <c r="C255" s="14" t="s">
        <v>16</v>
      </c>
      <c r="D255" s="14" t="str">
        <f t="shared" si="6"/>
        <v>AfterSupported Living with accommodationThera</v>
      </c>
      <c r="E255" s="158">
        <v>23.3</v>
      </c>
      <c r="F255" s="138">
        <v>24</v>
      </c>
      <c r="G255" s="14" t="str">
        <f t="shared" si="7"/>
        <v>AfterSupported Living with accommodationTheraSleep-in</v>
      </c>
      <c r="H255" s="141">
        <v>124.43</v>
      </c>
      <c r="I255" s="141">
        <v>871.01</v>
      </c>
      <c r="J255" s="140" t="s">
        <v>225</v>
      </c>
      <c r="K255" s="203" t="s">
        <v>252</v>
      </c>
    </row>
    <row r="256" spans="1:11" ht="14.5" hidden="1" x14ac:dyDescent="0.35">
      <c r="A256" s="201" t="s">
        <v>248</v>
      </c>
      <c r="B256" s="14" t="s">
        <v>239</v>
      </c>
      <c r="C256" s="14" t="s">
        <v>223</v>
      </c>
      <c r="D256" s="14" t="str">
        <f t="shared" si="6"/>
        <v>AfterSupported Living with accommodationTurning Point Services Ltd (CSE)</v>
      </c>
      <c r="E256" s="158">
        <v>23.3</v>
      </c>
      <c r="F256" s="138">
        <v>24</v>
      </c>
      <c r="G256" s="14" t="str">
        <f t="shared" si="7"/>
        <v>AfterSupported Living with accommodationTurning Point Services Ltd (CSE)Sleep-in</v>
      </c>
      <c r="H256" s="141">
        <v>124.43</v>
      </c>
      <c r="I256" s="141">
        <v>871.01</v>
      </c>
      <c r="J256" s="140" t="s">
        <v>225</v>
      </c>
      <c r="K256" s="203" t="s">
        <v>252</v>
      </c>
    </row>
    <row r="257" spans="1:15" ht="14.5" hidden="1" x14ac:dyDescent="0.35">
      <c r="A257" s="201" t="s">
        <v>248</v>
      </c>
      <c r="B257" s="14" t="s">
        <v>239</v>
      </c>
      <c r="C257" s="14" t="s">
        <v>17</v>
      </c>
      <c r="D257" s="14" t="str">
        <f t="shared" si="6"/>
        <v>AfterSupported Living with accommodationUnited Response</v>
      </c>
      <c r="E257" s="15">
        <v>23.3</v>
      </c>
      <c r="F257" s="141">
        <v>24</v>
      </c>
      <c r="G257" s="14" t="str">
        <f t="shared" si="7"/>
        <v>AfterSupported Living with accommodationUnited ResponseSleep-in</v>
      </c>
      <c r="H257" s="141">
        <v>124.43</v>
      </c>
      <c r="I257" s="141">
        <v>871.01</v>
      </c>
      <c r="J257" s="140" t="s">
        <v>225</v>
      </c>
      <c r="K257" s="203" t="s">
        <v>252</v>
      </c>
    </row>
    <row r="258" spans="1:15" ht="14.5" hidden="1" x14ac:dyDescent="0.35">
      <c r="A258" s="201" t="s">
        <v>248</v>
      </c>
      <c r="B258" s="14" t="s">
        <v>239</v>
      </c>
      <c r="C258" s="14" t="s">
        <v>18</v>
      </c>
      <c r="D258" s="14" t="str">
        <f t="shared" si="6"/>
        <v>AfterSupported Living with accommodationVoyage</v>
      </c>
      <c r="E258" s="15">
        <v>23.3</v>
      </c>
      <c r="F258" s="141">
        <v>24</v>
      </c>
      <c r="G258" s="14" t="str">
        <f t="shared" si="7"/>
        <v>AfterSupported Living with accommodationVoyageSleep-in</v>
      </c>
      <c r="H258" s="141">
        <v>124.43</v>
      </c>
      <c r="I258" s="141">
        <v>871.01</v>
      </c>
      <c r="J258" s="140" t="s">
        <v>225</v>
      </c>
      <c r="K258" s="203" t="s">
        <v>252</v>
      </c>
    </row>
    <row r="259" spans="1:15" ht="15" hidden="1" thickBot="1" x14ac:dyDescent="0.4">
      <c r="A259" s="287" t="s">
        <v>248</v>
      </c>
      <c r="B259" s="288" t="s">
        <v>239</v>
      </c>
      <c r="C259" s="288" t="s">
        <v>224</v>
      </c>
      <c r="D259" s="288" t="str">
        <f t="shared" ref="D259:D322" si="8">A259&amp;B259&amp;C259</f>
        <v>AfterSupported Living with accommodationWarwickshire Living Ltd</v>
      </c>
      <c r="E259" s="289">
        <v>23.3</v>
      </c>
      <c r="F259" s="157">
        <v>24</v>
      </c>
      <c r="G259" s="288" t="str">
        <f t="shared" ref="G259:G322" si="9">A259&amp;B259&amp;C259&amp;"Sleep-in"</f>
        <v>AfterSupported Living with accommodationWarwickshire Living LtdSleep-in</v>
      </c>
      <c r="H259" s="157">
        <v>124.43</v>
      </c>
      <c r="I259" s="157">
        <v>871.01</v>
      </c>
      <c r="J259" s="145" t="s">
        <v>226</v>
      </c>
      <c r="K259" s="204" t="s">
        <v>252</v>
      </c>
      <c r="M259" s="25"/>
      <c r="N259" s="25"/>
      <c r="O259" s="25">
        <f>SUM(I196:I259)</f>
        <v>55647.950000000026</v>
      </c>
    </row>
    <row r="260" spans="1:15" ht="14.5" hidden="1" x14ac:dyDescent="0.35">
      <c r="A260" s="190" t="s">
        <v>248</v>
      </c>
      <c r="B260" s="191" t="s">
        <v>347</v>
      </c>
      <c r="C260" s="191" t="s">
        <v>228</v>
      </c>
      <c r="D260" s="191" t="str">
        <f t="shared" si="8"/>
        <v>AfterSupported Living Plus without AccommodationAce Care 4 U Ltd</v>
      </c>
      <c r="E260" s="207">
        <v>25.59</v>
      </c>
      <c r="F260" s="184">
        <v>26.36</v>
      </c>
      <c r="G260" s="191" t="str">
        <f t="shared" si="9"/>
        <v>AfterSupported Living Plus without AccommodationAce Care 4 U LtdSleep-in</v>
      </c>
      <c r="H260" s="184">
        <v>124.43</v>
      </c>
      <c r="I260" s="184">
        <v>871.01</v>
      </c>
      <c r="J260" s="185" t="s">
        <v>240</v>
      </c>
      <c r="K260" s="190" t="s">
        <v>252</v>
      </c>
    </row>
    <row r="261" spans="1:15" ht="14.5" hidden="1" x14ac:dyDescent="0.35">
      <c r="A261" s="203" t="s">
        <v>248</v>
      </c>
      <c r="B261" s="16" t="s">
        <v>347</v>
      </c>
      <c r="C261" s="16" t="s">
        <v>184</v>
      </c>
      <c r="D261" s="16" t="str">
        <f t="shared" si="8"/>
        <v>AfterSupported Living Plus without AccommodationAchieve Together Ltd</v>
      </c>
      <c r="E261" s="17">
        <v>25.59</v>
      </c>
      <c r="F261" s="141">
        <v>26.36</v>
      </c>
      <c r="G261" s="16" t="str">
        <f t="shared" si="9"/>
        <v>AfterSupported Living Plus without AccommodationAchieve Together LtdSleep-in</v>
      </c>
      <c r="H261" s="141">
        <v>124.43</v>
      </c>
      <c r="I261" s="141">
        <v>871.01</v>
      </c>
      <c r="J261" s="140" t="s">
        <v>240</v>
      </c>
      <c r="K261" s="203" t="s">
        <v>252</v>
      </c>
    </row>
    <row r="262" spans="1:15" ht="14.5" hidden="1" x14ac:dyDescent="0.35">
      <c r="A262" s="203" t="s">
        <v>248</v>
      </c>
      <c r="B262" s="16" t="s">
        <v>347</v>
      </c>
      <c r="C262" s="16" t="s">
        <v>186</v>
      </c>
      <c r="D262" s="16" t="str">
        <f t="shared" si="8"/>
        <v>AfterSupported Living Plus without AccommodationAlpha Health &amp; Social Care Services Ltd</v>
      </c>
      <c r="E262" s="17">
        <v>25.59</v>
      </c>
      <c r="F262" s="141">
        <v>26.36</v>
      </c>
      <c r="G262" s="16" t="str">
        <f t="shared" si="9"/>
        <v>AfterSupported Living Plus without AccommodationAlpha Health &amp; Social Care Services LtdSleep-in</v>
      </c>
      <c r="H262" s="141">
        <v>124.43</v>
      </c>
      <c r="I262" s="141">
        <v>871.01</v>
      </c>
      <c r="J262" s="140" t="s">
        <v>241</v>
      </c>
      <c r="K262" s="203" t="s">
        <v>252</v>
      </c>
    </row>
    <row r="263" spans="1:15" ht="14.5" hidden="1" x14ac:dyDescent="0.35">
      <c r="A263" s="268" t="s">
        <v>248</v>
      </c>
      <c r="B263" s="269" t="s">
        <v>347</v>
      </c>
      <c r="C263" s="269" t="s">
        <v>332</v>
      </c>
      <c r="D263" s="269" t="str">
        <f t="shared" si="8"/>
        <v>AfterSupported Living Plus without AccommodationAOC Homecare (t/a Angel Oak Care)</v>
      </c>
      <c r="E263" s="270">
        <v>25.59</v>
      </c>
      <c r="F263" s="270">
        <v>26.36</v>
      </c>
      <c r="G263" s="269" t="str">
        <f t="shared" si="9"/>
        <v>AfterSupported Living Plus without AccommodationAOC Homecare (t/a Angel Oak Care)Sleep-in</v>
      </c>
      <c r="H263" s="270">
        <v>124.43</v>
      </c>
      <c r="I263" s="270">
        <v>871.01</v>
      </c>
      <c r="J263" s="271" t="s">
        <v>333</v>
      </c>
      <c r="K263" s="203" t="s">
        <v>252</v>
      </c>
    </row>
    <row r="264" spans="1:15" ht="14.5" hidden="1" x14ac:dyDescent="0.35">
      <c r="A264" s="203" t="s">
        <v>248</v>
      </c>
      <c r="B264" s="16" t="s">
        <v>347</v>
      </c>
      <c r="C264" s="16" t="s">
        <v>188</v>
      </c>
      <c r="D264" s="16" t="str">
        <f t="shared" si="8"/>
        <v>AfterSupported Living Plus without AccommodationArchangel Enterprises Ltd</v>
      </c>
      <c r="E264" s="17">
        <v>25.59</v>
      </c>
      <c r="F264" s="141">
        <v>26.36</v>
      </c>
      <c r="G264" s="16" t="str">
        <f t="shared" si="9"/>
        <v>AfterSupported Living Plus without AccommodationArchangel Enterprises LtdSleep-in</v>
      </c>
      <c r="H264" s="141">
        <v>124.43</v>
      </c>
      <c r="I264" s="141">
        <v>871.01</v>
      </c>
      <c r="J264" s="140" t="s">
        <v>240</v>
      </c>
      <c r="K264" s="203" t="s">
        <v>252</v>
      </c>
    </row>
    <row r="265" spans="1:15" ht="14.5" hidden="1" x14ac:dyDescent="0.35">
      <c r="A265" s="203" t="s">
        <v>248</v>
      </c>
      <c r="B265" s="16" t="s">
        <v>347</v>
      </c>
      <c r="C265" s="16" t="s">
        <v>163</v>
      </c>
      <c r="D265" s="16" t="str">
        <f t="shared" si="8"/>
        <v>AfterSupported Living Plus without AccommodationAspirations Care Ltd</v>
      </c>
      <c r="E265" s="17">
        <v>25.59</v>
      </c>
      <c r="F265" s="141">
        <v>26.36</v>
      </c>
      <c r="G265" s="16" t="str">
        <f t="shared" si="9"/>
        <v>AfterSupported Living Plus without AccommodationAspirations Care LtdSleep-in</v>
      </c>
      <c r="H265" s="141">
        <v>124.43</v>
      </c>
      <c r="I265" s="141">
        <v>871.01</v>
      </c>
      <c r="J265" s="140" t="s">
        <v>240</v>
      </c>
      <c r="K265" s="203" t="s">
        <v>252</v>
      </c>
    </row>
    <row r="266" spans="1:15" ht="14.5" hidden="1" x14ac:dyDescent="0.35">
      <c r="A266" s="203" t="s">
        <v>248</v>
      </c>
      <c r="B266" s="16" t="s">
        <v>347</v>
      </c>
      <c r="C266" s="16" t="s">
        <v>189</v>
      </c>
      <c r="D266" s="16" t="str">
        <f t="shared" si="8"/>
        <v>AfterSupported Living Plus without AccommodationAutism East Midlands</v>
      </c>
      <c r="E266" s="17">
        <v>25.59</v>
      </c>
      <c r="F266" s="141">
        <v>26.36</v>
      </c>
      <c r="G266" s="16" t="str">
        <f t="shared" si="9"/>
        <v>AfterSupported Living Plus without AccommodationAutism East MidlandsSleep-in</v>
      </c>
      <c r="H266" s="141">
        <v>124.43</v>
      </c>
      <c r="I266" s="141">
        <v>871.01</v>
      </c>
      <c r="J266" s="140" t="s">
        <v>241</v>
      </c>
      <c r="K266" s="203" t="s">
        <v>252</v>
      </c>
    </row>
    <row r="267" spans="1:15" ht="14.5" hidden="1" x14ac:dyDescent="0.35">
      <c r="A267" s="203" t="s">
        <v>248</v>
      </c>
      <c r="B267" s="16" t="s">
        <v>347</v>
      </c>
      <c r="C267" s="16" t="s">
        <v>190</v>
      </c>
      <c r="D267" s="16" t="str">
        <f t="shared" si="8"/>
        <v>AfterSupported Living Plus without AccommodationAxis Recruitment Ltd</v>
      </c>
      <c r="E267" s="17">
        <v>25.59</v>
      </c>
      <c r="F267" s="141">
        <v>26.36</v>
      </c>
      <c r="G267" s="16" t="str">
        <f t="shared" si="9"/>
        <v>AfterSupported Living Plus without AccommodationAxis Recruitment LtdSleep-in</v>
      </c>
      <c r="H267" s="141">
        <v>124.43</v>
      </c>
      <c r="I267" s="141">
        <v>871.01</v>
      </c>
      <c r="J267" s="140" t="s">
        <v>240</v>
      </c>
      <c r="K267" s="203" t="s">
        <v>252</v>
      </c>
    </row>
    <row r="268" spans="1:15" ht="14.5" hidden="1" x14ac:dyDescent="0.35">
      <c r="A268" s="203" t="s">
        <v>248</v>
      </c>
      <c r="B268" s="16" t="s">
        <v>347</v>
      </c>
      <c r="C268" s="16" t="s">
        <v>229</v>
      </c>
      <c r="D268" s="16" t="str">
        <f t="shared" si="8"/>
        <v>AfterSupported Living Plus without AccommodationBespoke Health &amp; Social Care</v>
      </c>
      <c r="E268" s="17">
        <v>25.59</v>
      </c>
      <c r="F268" s="141">
        <v>26.36</v>
      </c>
      <c r="G268" s="16" t="str">
        <f t="shared" si="9"/>
        <v>AfterSupported Living Plus without AccommodationBespoke Health &amp; Social CareSleep-in</v>
      </c>
      <c r="H268" s="141">
        <v>124.43</v>
      </c>
      <c r="I268" s="141">
        <v>871.01</v>
      </c>
      <c r="J268" s="140" t="s">
        <v>240</v>
      </c>
      <c r="K268" s="203" t="s">
        <v>252</v>
      </c>
    </row>
    <row r="269" spans="1:15" ht="14.5" hidden="1" x14ac:dyDescent="0.35">
      <c r="A269" s="203" t="s">
        <v>248</v>
      </c>
      <c r="B269" s="16" t="s">
        <v>347</v>
      </c>
      <c r="C269" s="16" t="s">
        <v>191</v>
      </c>
      <c r="D269" s="16" t="str">
        <f t="shared" si="8"/>
        <v>AfterSupported Living Plus without AccommodationBreak Barriers (Nottingham) Ltd</v>
      </c>
      <c r="E269" s="17">
        <v>25.59</v>
      </c>
      <c r="F269" s="141">
        <v>26.36</v>
      </c>
      <c r="G269" s="16" t="str">
        <f t="shared" si="9"/>
        <v>AfterSupported Living Plus without AccommodationBreak Barriers (Nottingham) LtdSleep-in</v>
      </c>
      <c r="H269" s="141">
        <v>124.43</v>
      </c>
      <c r="I269" s="141">
        <v>871.01</v>
      </c>
      <c r="J269" s="140" t="s">
        <v>241</v>
      </c>
      <c r="K269" s="203" t="s">
        <v>252</v>
      </c>
    </row>
    <row r="270" spans="1:15" ht="14.5" x14ac:dyDescent="0.35">
      <c r="A270" s="203" t="s">
        <v>248</v>
      </c>
      <c r="B270" s="16" t="s">
        <v>347</v>
      </c>
      <c r="C270" s="16" t="s">
        <v>11</v>
      </c>
      <c r="D270" s="16" t="str">
        <f t="shared" si="8"/>
        <v>AfterSupported Living Plus without AccommodationCIC</v>
      </c>
      <c r="E270" s="17">
        <v>25.59</v>
      </c>
      <c r="F270" s="141">
        <v>26.36</v>
      </c>
      <c r="G270" s="16" t="str">
        <f t="shared" si="9"/>
        <v>AfterSupported Living Plus without AccommodationCICSleep-in</v>
      </c>
      <c r="H270" s="141">
        <v>124.43</v>
      </c>
      <c r="I270" s="141">
        <v>871.01</v>
      </c>
      <c r="J270" s="140" t="s">
        <v>240</v>
      </c>
      <c r="K270" s="203" t="s">
        <v>252</v>
      </c>
    </row>
    <row r="271" spans="1:15" ht="14.5" hidden="1" x14ac:dyDescent="0.35">
      <c r="A271" s="203" t="s">
        <v>248</v>
      </c>
      <c r="B271" s="16" t="s">
        <v>347</v>
      </c>
      <c r="C271" s="16" t="s">
        <v>195</v>
      </c>
      <c r="D271" s="16" t="str">
        <f t="shared" si="8"/>
        <v>AfterSupported Living Plus without AccommodationCommit2Care Services Ltd</v>
      </c>
      <c r="E271" s="17">
        <v>25.59</v>
      </c>
      <c r="F271" s="141">
        <v>26.36</v>
      </c>
      <c r="G271" s="16" t="str">
        <f t="shared" si="9"/>
        <v>AfterSupported Living Plus without AccommodationCommit2Care Services LtdSleep-in</v>
      </c>
      <c r="H271" s="141">
        <v>124.43</v>
      </c>
      <c r="I271" s="141">
        <v>871.01</v>
      </c>
      <c r="J271" s="140" t="s">
        <v>240</v>
      </c>
      <c r="K271" s="203" t="s">
        <v>252</v>
      </c>
    </row>
    <row r="272" spans="1:15" ht="14.5" hidden="1" x14ac:dyDescent="0.35">
      <c r="A272" s="263" t="s">
        <v>248</v>
      </c>
      <c r="B272" s="264" t="s">
        <v>347</v>
      </c>
      <c r="C272" s="264" t="s">
        <v>330</v>
      </c>
      <c r="D272" s="264" t="str">
        <f t="shared" si="8"/>
        <v>AfterSupported Living Plus without AccommodationConsensus Community Support Ltd</v>
      </c>
      <c r="E272" s="264">
        <v>25.59</v>
      </c>
      <c r="F272" s="277">
        <v>26.36</v>
      </c>
      <c r="G272" s="264" t="str">
        <f t="shared" si="9"/>
        <v>AfterSupported Living Plus without AccommodationConsensus Community Support LtdSleep-in</v>
      </c>
      <c r="H272" s="277">
        <v>124.43</v>
      </c>
      <c r="I272" s="264">
        <v>871.01</v>
      </c>
      <c r="J272" s="272" t="s">
        <v>331</v>
      </c>
      <c r="K272" s="203" t="s">
        <v>252</v>
      </c>
    </row>
    <row r="273" spans="1:11" ht="14.5" hidden="1" x14ac:dyDescent="0.35">
      <c r="A273" s="203" t="s">
        <v>248</v>
      </c>
      <c r="B273" s="16" t="s">
        <v>347</v>
      </c>
      <c r="C273" s="16" t="s">
        <v>230</v>
      </c>
      <c r="D273" s="16" t="str">
        <f t="shared" si="8"/>
        <v>AfterSupported Living Plus without AccommodationCraegmoor Supporting You Ltd</v>
      </c>
      <c r="E273" s="17">
        <v>25.59</v>
      </c>
      <c r="F273" s="141">
        <v>26.36</v>
      </c>
      <c r="G273" s="16" t="str">
        <f t="shared" si="9"/>
        <v>AfterSupported Living Plus without AccommodationCraegmoor Supporting You LtdSleep-in</v>
      </c>
      <c r="H273" s="141">
        <v>124.43</v>
      </c>
      <c r="I273" s="141">
        <v>871.01</v>
      </c>
      <c r="J273" s="140" t="s">
        <v>240</v>
      </c>
      <c r="K273" s="203" t="s">
        <v>252</v>
      </c>
    </row>
    <row r="274" spans="1:11" ht="14.5" hidden="1" x14ac:dyDescent="0.35">
      <c r="A274" s="203" t="s">
        <v>248</v>
      </c>
      <c r="B274" s="16" t="s">
        <v>347</v>
      </c>
      <c r="C274" s="16" t="s">
        <v>196</v>
      </c>
      <c r="D274" s="16" t="str">
        <f t="shared" si="8"/>
        <v>AfterSupported Living Plus without AccommodationDepax Ltd</v>
      </c>
      <c r="E274" s="17">
        <v>25.59</v>
      </c>
      <c r="F274" s="141">
        <v>26.36</v>
      </c>
      <c r="G274" s="16" t="str">
        <f t="shared" si="9"/>
        <v>AfterSupported Living Plus without AccommodationDepax LtdSleep-in</v>
      </c>
      <c r="H274" s="141">
        <v>124.43</v>
      </c>
      <c r="I274" s="141">
        <v>871.01</v>
      </c>
      <c r="J274" s="140" t="s">
        <v>241</v>
      </c>
      <c r="K274" s="203" t="s">
        <v>252</v>
      </c>
    </row>
    <row r="275" spans="1:11" ht="14.5" hidden="1" x14ac:dyDescent="0.35">
      <c r="A275" s="203" t="s">
        <v>248</v>
      </c>
      <c r="B275" s="16" t="s">
        <v>347</v>
      </c>
      <c r="C275" s="16" t="s">
        <v>342</v>
      </c>
      <c r="D275" s="16" t="str">
        <f t="shared" si="8"/>
        <v xml:space="preserve">AfterSupported Living Plus without AccommodationEden Supported Living </v>
      </c>
      <c r="E275" s="17">
        <v>25.59</v>
      </c>
      <c r="F275" s="141">
        <v>26.36</v>
      </c>
      <c r="G275" s="16" t="str">
        <f t="shared" si="9"/>
        <v>AfterSupported Living Plus without AccommodationEden Supported Living Sleep-in</v>
      </c>
      <c r="H275" s="141">
        <v>124.43</v>
      </c>
      <c r="I275" s="141">
        <v>871.01</v>
      </c>
      <c r="J275" s="1" t="s">
        <v>240</v>
      </c>
      <c r="K275" s="203" t="s">
        <v>252</v>
      </c>
    </row>
    <row r="276" spans="1:11" ht="14.5" hidden="1" x14ac:dyDescent="0.35">
      <c r="A276" s="263" t="s">
        <v>248</v>
      </c>
      <c r="B276" s="264" t="s">
        <v>347</v>
      </c>
      <c r="C276" s="264" t="s">
        <v>337</v>
      </c>
      <c r="D276" s="264" t="str">
        <f t="shared" si="8"/>
        <v>AfterSupported Living Plus without AccommodationFestygreat Divers Enterprise Ltd(t/a Festygreat Healthcare)</v>
      </c>
      <c r="E276" s="265">
        <v>25.59</v>
      </c>
      <c r="F276" s="265">
        <v>26.36</v>
      </c>
      <c r="G276" s="264" t="str">
        <f t="shared" si="9"/>
        <v>AfterSupported Living Plus without AccommodationFestygreat Divers Enterprise Ltd(t/a Festygreat Healthcare)Sleep-in</v>
      </c>
      <c r="H276" s="265">
        <v>124.43</v>
      </c>
      <c r="I276" s="265">
        <v>871.01</v>
      </c>
      <c r="J276" s="272" t="s">
        <v>338</v>
      </c>
      <c r="K276" s="203" t="s">
        <v>252</v>
      </c>
    </row>
    <row r="277" spans="1:11" ht="14.5" hidden="1" x14ac:dyDescent="0.35">
      <c r="A277" s="203" t="s">
        <v>248</v>
      </c>
      <c r="B277" s="16" t="s">
        <v>347</v>
      </c>
      <c r="C277" s="16" t="s">
        <v>12</v>
      </c>
      <c r="D277" s="16" t="str">
        <f t="shared" si="8"/>
        <v>AfterSupported Living Plus without AccommodationFitzroy</v>
      </c>
      <c r="E277" s="161">
        <v>25.59</v>
      </c>
      <c r="F277" s="138">
        <v>26.36</v>
      </c>
      <c r="G277" s="16" t="str">
        <f t="shared" si="9"/>
        <v>AfterSupported Living Plus without AccommodationFitzroySleep-in</v>
      </c>
      <c r="H277" s="141">
        <v>124.43</v>
      </c>
      <c r="I277" s="141">
        <v>871.01</v>
      </c>
      <c r="J277" s="140" t="s">
        <v>240</v>
      </c>
      <c r="K277" s="203" t="s">
        <v>252</v>
      </c>
    </row>
    <row r="278" spans="1:11" ht="14.5" hidden="1" x14ac:dyDescent="0.35">
      <c r="A278" s="203" t="s">
        <v>248</v>
      </c>
      <c r="B278" s="16" t="s">
        <v>347</v>
      </c>
      <c r="C278" s="16" t="s">
        <v>63</v>
      </c>
      <c r="D278" s="16" t="str">
        <f t="shared" si="8"/>
        <v>AfterSupported Living Plus without AccommodationFosse Healthcare (CSE)</v>
      </c>
      <c r="E278" s="17">
        <v>25.59</v>
      </c>
      <c r="F278" s="141">
        <v>26.36</v>
      </c>
      <c r="G278" s="16" t="str">
        <f t="shared" si="9"/>
        <v>AfterSupported Living Plus without AccommodationFosse Healthcare (CSE)Sleep-in</v>
      </c>
      <c r="H278" s="141">
        <v>124.43</v>
      </c>
      <c r="I278" s="141">
        <v>871.01</v>
      </c>
      <c r="J278" s="140" t="s">
        <v>240</v>
      </c>
      <c r="K278" s="203" t="s">
        <v>252</v>
      </c>
    </row>
    <row r="279" spans="1:11" ht="14.5" hidden="1" x14ac:dyDescent="0.35">
      <c r="A279" s="203" t="s">
        <v>248</v>
      </c>
      <c r="B279" s="16" t="s">
        <v>347</v>
      </c>
      <c r="C279" s="16" t="s">
        <v>199</v>
      </c>
      <c r="D279" s="16" t="str">
        <f t="shared" si="8"/>
        <v>AfterSupported Living Plus without AccommodationFredas Care Ltd</v>
      </c>
      <c r="E279" s="17">
        <v>25.59</v>
      </c>
      <c r="F279" s="141">
        <v>26.36</v>
      </c>
      <c r="G279" s="16" t="str">
        <f t="shared" si="9"/>
        <v>AfterSupported Living Plus without AccommodationFredas Care LtdSleep-in</v>
      </c>
      <c r="H279" s="141">
        <v>124.43</v>
      </c>
      <c r="I279" s="141">
        <v>871.01</v>
      </c>
      <c r="J279" s="140" t="s">
        <v>240</v>
      </c>
      <c r="K279" s="203" t="s">
        <v>252</v>
      </c>
    </row>
    <row r="280" spans="1:11" ht="14.5" hidden="1" x14ac:dyDescent="0.35">
      <c r="A280" s="203" t="s">
        <v>248</v>
      </c>
      <c r="B280" s="16" t="s">
        <v>347</v>
      </c>
      <c r="C280" s="16" t="s">
        <v>13</v>
      </c>
      <c r="D280" s="16" t="str">
        <f t="shared" si="8"/>
        <v>AfterSupported Living Plus without AccommodationFuture Homecare</v>
      </c>
      <c r="E280" s="17">
        <v>25.59</v>
      </c>
      <c r="F280" s="141">
        <v>26.36</v>
      </c>
      <c r="G280" s="16" t="str">
        <f t="shared" si="9"/>
        <v>AfterSupported Living Plus without AccommodationFuture HomecareSleep-in</v>
      </c>
      <c r="H280" s="141">
        <v>124.43</v>
      </c>
      <c r="I280" s="141">
        <v>871.01</v>
      </c>
      <c r="J280" s="140" t="s">
        <v>240</v>
      </c>
      <c r="K280" s="203" t="s">
        <v>252</v>
      </c>
    </row>
    <row r="281" spans="1:11" ht="14.5" hidden="1" x14ac:dyDescent="0.35">
      <c r="A281" s="203" t="s">
        <v>248</v>
      </c>
      <c r="B281" s="16" t="s">
        <v>347</v>
      </c>
      <c r="C281" s="16" t="s">
        <v>200</v>
      </c>
      <c r="D281" s="16" t="str">
        <f t="shared" si="8"/>
        <v>AfterSupported Living Plus without AccommodationGemini Exclusive Care</v>
      </c>
      <c r="E281" s="17">
        <v>25.59</v>
      </c>
      <c r="F281" s="141">
        <v>26.36</v>
      </c>
      <c r="G281" s="16" t="str">
        <f t="shared" si="9"/>
        <v>AfterSupported Living Plus without AccommodationGemini Exclusive CareSleep-in</v>
      </c>
      <c r="H281" s="141">
        <v>124.43</v>
      </c>
      <c r="I281" s="141">
        <v>871.01</v>
      </c>
      <c r="J281" s="140" t="s">
        <v>240</v>
      </c>
      <c r="K281" s="203" t="s">
        <v>252</v>
      </c>
    </row>
    <row r="282" spans="1:11" ht="14.5" hidden="1" x14ac:dyDescent="0.35">
      <c r="A282" s="203" t="s">
        <v>248</v>
      </c>
      <c r="B282" s="16" t="s">
        <v>347</v>
      </c>
      <c r="C282" s="16" t="s">
        <v>201</v>
      </c>
      <c r="D282" s="16" t="str">
        <f t="shared" si="8"/>
        <v>AfterSupported Living Plus without AccommodationGlobal Support &amp; Care Ltd</v>
      </c>
      <c r="E282" s="17">
        <v>25.59</v>
      </c>
      <c r="F282" s="141">
        <v>26.36</v>
      </c>
      <c r="G282" s="16" t="str">
        <f t="shared" si="9"/>
        <v>AfterSupported Living Plus without AccommodationGlobal Support &amp; Care LtdSleep-in</v>
      </c>
      <c r="H282" s="141">
        <v>124.43</v>
      </c>
      <c r="I282" s="141">
        <v>871.01</v>
      </c>
      <c r="J282" s="140" t="s">
        <v>240</v>
      </c>
      <c r="K282" s="203" t="s">
        <v>252</v>
      </c>
    </row>
    <row r="283" spans="1:11" ht="14.5" hidden="1" x14ac:dyDescent="0.35">
      <c r="A283" s="16" t="s">
        <v>248</v>
      </c>
      <c r="B283" s="16" t="s">
        <v>347</v>
      </c>
      <c r="C283" s="16" t="s">
        <v>202</v>
      </c>
      <c r="D283" s="16" t="str">
        <f t="shared" si="8"/>
        <v>AfterSupported Living Plus without AccommodationGP Homecare Ltd t/a Radis Community Care</v>
      </c>
      <c r="E283" s="17">
        <v>25.59</v>
      </c>
      <c r="F283" s="141">
        <v>26.36</v>
      </c>
      <c r="G283" s="16" t="str">
        <f t="shared" si="9"/>
        <v>AfterSupported Living Plus without AccommodationGP Homecare Ltd t/a Radis Community CareSleep-in</v>
      </c>
      <c r="H283" s="141">
        <v>124.43</v>
      </c>
      <c r="I283" s="141">
        <v>871.01</v>
      </c>
      <c r="J283" s="1" t="s">
        <v>240</v>
      </c>
      <c r="K283" s="203" t="s">
        <v>252</v>
      </c>
    </row>
    <row r="284" spans="1:11" ht="14.5" hidden="1" x14ac:dyDescent="0.35">
      <c r="A284" s="203" t="s">
        <v>248</v>
      </c>
      <c r="B284" s="16" t="s">
        <v>347</v>
      </c>
      <c r="C284" s="16" t="s">
        <v>204</v>
      </c>
      <c r="D284" s="16" t="str">
        <f t="shared" si="8"/>
        <v>AfterSupported Living Plus without AccommodationHearts at Home Homecare Ltd</v>
      </c>
      <c r="E284" s="17">
        <v>25.59</v>
      </c>
      <c r="F284" s="141">
        <v>26.36</v>
      </c>
      <c r="G284" s="16" t="str">
        <f t="shared" si="9"/>
        <v>AfterSupported Living Plus without AccommodationHearts at Home Homecare LtdSleep-in</v>
      </c>
      <c r="H284" s="141">
        <v>124.43</v>
      </c>
      <c r="I284" s="141">
        <v>871.01</v>
      </c>
      <c r="J284" s="140" t="s">
        <v>240</v>
      </c>
      <c r="K284" s="203" t="s">
        <v>252</v>
      </c>
    </row>
    <row r="285" spans="1:11" ht="14.5" hidden="1" x14ac:dyDescent="0.35">
      <c r="A285" s="203" t="s">
        <v>248</v>
      </c>
      <c r="B285" s="16" t="s">
        <v>347</v>
      </c>
      <c r="C285" s="16" t="s">
        <v>205</v>
      </c>
      <c r="D285" s="16" t="str">
        <f t="shared" si="8"/>
        <v>AfterSupported Living Plus without AccommodationHeathcotes (BDT)</v>
      </c>
      <c r="E285" s="17">
        <v>25.59</v>
      </c>
      <c r="F285" s="141">
        <v>26.36</v>
      </c>
      <c r="G285" s="16" t="str">
        <f t="shared" si="9"/>
        <v>AfterSupported Living Plus without AccommodationHeathcotes (BDT)Sleep-in</v>
      </c>
      <c r="H285" s="141">
        <v>124.43</v>
      </c>
      <c r="I285" s="141">
        <v>871.01</v>
      </c>
      <c r="J285" s="140" t="s">
        <v>240</v>
      </c>
      <c r="K285" s="203" t="s">
        <v>252</v>
      </c>
    </row>
    <row r="286" spans="1:11" ht="14.5" hidden="1" x14ac:dyDescent="0.35">
      <c r="A286" s="203" t="s">
        <v>248</v>
      </c>
      <c r="B286" s="16" t="s">
        <v>347</v>
      </c>
      <c r="C286" s="16" t="s">
        <v>206</v>
      </c>
      <c r="D286" s="16" t="str">
        <f t="shared" si="8"/>
        <v>AfterSupported Living Plus without AccommodationJes Care Services Ltd</v>
      </c>
      <c r="E286" s="17">
        <v>25.59</v>
      </c>
      <c r="F286" s="141">
        <v>26.36</v>
      </c>
      <c r="G286" s="16" t="str">
        <f t="shared" si="9"/>
        <v>AfterSupported Living Plus without AccommodationJes Care Services LtdSleep-in</v>
      </c>
      <c r="H286" s="141">
        <v>124.43</v>
      </c>
      <c r="I286" s="141">
        <v>871.01</v>
      </c>
      <c r="J286" s="140" t="s">
        <v>241</v>
      </c>
      <c r="K286" s="203" t="s">
        <v>252</v>
      </c>
    </row>
    <row r="287" spans="1:11" ht="14.5" hidden="1" x14ac:dyDescent="0.35">
      <c r="A287" s="203" t="s">
        <v>248</v>
      </c>
      <c r="B287" s="16" t="s">
        <v>347</v>
      </c>
      <c r="C287" s="16" t="s">
        <v>207</v>
      </c>
      <c r="D287" s="16" t="str">
        <f t="shared" si="8"/>
        <v>AfterSupported Living Plus without AccommodationKeys PCE Ltd</v>
      </c>
      <c r="E287" s="17">
        <v>25.59</v>
      </c>
      <c r="F287" s="141">
        <v>26.36</v>
      </c>
      <c r="G287" s="16" t="str">
        <f t="shared" si="9"/>
        <v>AfterSupported Living Plus without AccommodationKeys PCE LtdSleep-in</v>
      </c>
      <c r="H287" s="141">
        <v>124.43</v>
      </c>
      <c r="I287" s="141">
        <v>871.01</v>
      </c>
      <c r="J287" s="140" t="s">
        <v>240</v>
      </c>
      <c r="K287" s="203" t="s">
        <v>252</v>
      </c>
    </row>
    <row r="288" spans="1:11" ht="14.5" hidden="1" x14ac:dyDescent="0.35">
      <c r="A288" s="203" t="s">
        <v>248</v>
      </c>
      <c r="B288" s="16" t="s">
        <v>347</v>
      </c>
      <c r="C288" s="16" t="s">
        <v>14</v>
      </c>
      <c r="D288" s="16" t="str">
        <f t="shared" si="8"/>
        <v>AfterSupported Living Plus without AccommodationLifeways</v>
      </c>
      <c r="E288" s="17">
        <v>25.59</v>
      </c>
      <c r="F288" s="141">
        <v>26.36</v>
      </c>
      <c r="G288" s="16" t="str">
        <f t="shared" si="9"/>
        <v>AfterSupported Living Plus without AccommodationLifewaysSleep-in</v>
      </c>
      <c r="H288" s="141">
        <v>124.43</v>
      </c>
      <c r="I288" s="141">
        <v>871.01</v>
      </c>
      <c r="J288" s="140" t="s">
        <v>240</v>
      </c>
      <c r="K288" s="203" t="s">
        <v>252</v>
      </c>
    </row>
    <row r="289" spans="1:11" ht="14.5" hidden="1" x14ac:dyDescent="0.35">
      <c r="A289" s="203" t="s">
        <v>248</v>
      </c>
      <c r="B289" s="16" t="s">
        <v>347</v>
      </c>
      <c r="C289" s="16" t="s">
        <v>213</v>
      </c>
      <c r="D289" s="16" t="str">
        <f t="shared" si="8"/>
        <v>AfterSupported Living Plus without AccommodationMidco Care Ltd</v>
      </c>
      <c r="E289" s="17">
        <v>25.59</v>
      </c>
      <c r="F289" s="141">
        <v>26.36</v>
      </c>
      <c r="G289" s="16" t="str">
        <f t="shared" si="9"/>
        <v>AfterSupported Living Plus without AccommodationMidco Care LtdSleep-in</v>
      </c>
      <c r="H289" s="141">
        <v>124.43</v>
      </c>
      <c r="I289" s="141">
        <v>871.01</v>
      </c>
      <c r="J289" s="140" t="s">
        <v>240</v>
      </c>
      <c r="K289" s="203" t="s">
        <v>252</v>
      </c>
    </row>
    <row r="290" spans="1:11" ht="14.5" hidden="1" x14ac:dyDescent="0.35">
      <c r="A290" s="203" t="s">
        <v>248</v>
      </c>
      <c r="B290" s="16" t="s">
        <v>347</v>
      </c>
      <c r="C290" s="16" t="s">
        <v>343</v>
      </c>
      <c r="D290" s="16" t="str">
        <f t="shared" si="8"/>
        <v>AfterSupported Living Plus without AccommodationMidway Care Group</v>
      </c>
      <c r="E290" s="17">
        <v>25.59</v>
      </c>
      <c r="F290" s="141">
        <v>26.36</v>
      </c>
      <c r="G290" s="16" t="str">
        <f t="shared" si="9"/>
        <v>AfterSupported Living Plus without AccommodationMidway Care GroupSleep-in</v>
      </c>
      <c r="H290" s="141">
        <v>124.43</v>
      </c>
      <c r="I290" s="141">
        <v>871.01</v>
      </c>
      <c r="J290" s="140" t="s">
        <v>240</v>
      </c>
      <c r="K290" s="203" t="s">
        <v>252</v>
      </c>
    </row>
    <row r="291" spans="1:11" ht="14.5" hidden="1" x14ac:dyDescent="0.35">
      <c r="A291" s="203" t="s">
        <v>248</v>
      </c>
      <c r="B291" s="16" t="s">
        <v>347</v>
      </c>
      <c r="C291" s="16" t="s">
        <v>339</v>
      </c>
      <c r="D291" s="16" t="str">
        <f t="shared" si="8"/>
        <v>AfterSupported Living Plus without AccommodationMyHomecareNottingham</v>
      </c>
      <c r="E291" s="17">
        <v>25.59</v>
      </c>
      <c r="F291" s="141">
        <v>26.36</v>
      </c>
      <c r="G291" s="16" t="str">
        <f t="shared" si="9"/>
        <v>AfterSupported Living Plus without AccommodationMyHomecareNottinghamSleep-in</v>
      </c>
      <c r="H291" s="141">
        <v>124.43</v>
      </c>
      <c r="I291" s="141">
        <v>871.01</v>
      </c>
      <c r="J291" s="140" t="s">
        <v>240</v>
      </c>
      <c r="K291" s="203" t="s">
        <v>252</v>
      </c>
    </row>
    <row r="292" spans="1:11" ht="14.5" hidden="1" x14ac:dyDescent="0.35">
      <c r="A292" s="203" t="s">
        <v>248</v>
      </c>
      <c r="B292" s="16" t="s">
        <v>347</v>
      </c>
      <c r="C292" s="16" t="s">
        <v>214</v>
      </c>
      <c r="D292" s="16" t="str">
        <f t="shared" si="8"/>
        <v>AfterSupported Living Plus without AccommodationNardus Healthcare</v>
      </c>
      <c r="E292" s="17">
        <v>25.59</v>
      </c>
      <c r="F292" s="141">
        <v>26.36</v>
      </c>
      <c r="G292" s="16" t="str">
        <f t="shared" si="9"/>
        <v>AfterSupported Living Plus without AccommodationNardus HealthcareSleep-in</v>
      </c>
      <c r="H292" s="141">
        <v>124.43</v>
      </c>
      <c r="I292" s="141">
        <v>871.01</v>
      </c>
      <c r="J292" s="140" t="s">
        <v>240</v>
      </c>
      <c r="K292" s="203" t="s">
        <v>252</v>
      </c>
    </row>
    <row r="293" spans="1:11" ht="15" hidden="1" thickBot="1" x14ac:dyDescent="0.4">
      <c r="A293" s="203" t="s">
        <v>248</v>
      </c>
      <c r="B293" s="16" t="s">
        <v>347</v>
      </c>
      <c r="C293" s="16" t="s">
        <v>15</v>
      </c>
      <c r="D293" s="16" t="str">
        <f t="shared" si="8"/>
        <v>AfterSupported Living Plus without AccommodationNCHA</v>
      </c>
      <c r="E293" s="17">
        <v>25.59</v>
      </c>
      <c r="F293" s="141">
        <v>26.36</v>
      </c>
      <c r="G293" s="16" t="str">
        <f t="shared" si="9"/>
        <v>AfterSupported Living Plus without AccommodationNCHASleep-in</v>
      </c>
      <c r="H293" s="141">
        <v>124.43</v>
      </c>
      <c r="I293" s="141">
        <v>871.01</v>
      </c>
      <c r="J293" s="140" t="s">
        <v>240</v>
      </c>
      <c r="K293" s="204" t="s">
        <v>252</v>
      </c>
    </row>
    <row r="294" spans="1:11" ht="14.5" hidden="1" x14ac:dyDescent="0.35">
      <c r="A294" s="203" t="s">
        <v>248</v>
      </c>
      <c r="B294" s="16" t="s">
        <v>347</v>
      </c>
      <c r="C294" s="16" t="s">
        <v>344</v>
      </c>
      <c r="D294" s="16" t="str">
        <f t="shared" si="8"/>
        <v xml:space="preserve">AfterSupported Living Plus without AccommodationPerthyn </v>
      </c>
      <c r="E294" s="17">
        <v>25.59</v>
      </c>
      <c r="F294" s="141">
        <v>26.36</v>
      </c>
      <c r="G294" s="16" t="str">
        <f t="shared" si="9"/>
        <v>AfterSupported Living Plus without AccommodationPerthyn Sleep-in</v>
      </c>
      <c r="H294" s="141">
        <v>124.43</v>
      </c>
      <c r="I294" s="141">
        <v>871.01</v>
      </c>
      <c r="J294" s="140" t="s">
        <v>240</v>
      </c>
      <c r="K294" s="187" t="s">
        <v>252</v>
      </c>
    </row>
    <row r="295" spans="1:11" ht="14.5" hidden="1" x14ac:dyDescent="0.35">
      <c r="A295" s="203" t="s">
        <v>248</v>
      </c>
      <c r="B295" s="16" t="s">
        <v>347</v>
      </c>
      <c r="C295" s="16" t="s">
        <v>341</v>
      </c>
      <c r="D295" s="16" t="str">
        <f t="shared" si="8"/>
        <v xml:space="preserve">AfterSupported Living Plus without AccommodationPotens </v>
      </c>
      <c r="E295" s="17">
        <v>25.59</v>
      </c>
      <c r="F295" s="141">
        <v>26.36</v>
      </c>
      <c r="G295" s="16" t="str">
        <f t="shared" si="9"/>
        <v>AfterSupported Living Plus without AccommodationPotens Sleep-in</v>
      </c>
      <c r="H295" s="141">
        <v>124.43</v>
      </c>
      <c r="I295" s="141">
        <v>871.01</v>
      </c>
      <c r="J295" s="140" t="s">
        <v>240</v>
      </c>
      <c r="K295" s="206" t="s">
        <v>252</v>
      </c>
    </row>
    <row r="296" spans="1:11" ht="14.5" hidden="1" x14ac:dyDescent="0.35">
      <c r="A296" s="203" t="s">
        <v>248</v>
      </c>
      <c r="B296" s="16" t="s">
        <v>347</v>
      </c>
      <c r="C296" s="16" t="s">
        <v>340</v>
      </c>
      <c r="D296" s="16" t="str">
        <f t="shared" si="8"/>
        <v xml:space="preserve">AfterSupported Living Plus without AccommodationPrinciple Support </v>
      </c>
      <c r="E296" s="17">
        <v>25.59</v>
      </c>
      <c r="F296" s="141">
        <v>26.36</v>
      </c>
      <c r="G296" s="16" t="str">
        <f t="shared" si="9"/>
        <v>AfterSupported Living Plus without AccommodationPrinciple Support Sleep-in</v>
      </c>
      <c r="H296" s="141">
        <v>124.43</v>
      </c>
      <c r="I296" s="141">
        <v>871.01</v>
      </c>
      <c r="J296" s="140" t="s">
        <v>240</v>
      </c>
      <c r="K296" s="206" t="s">
        <v>252</v>
      </c>
    </row>
    <row r="297" spans="1:11" ht="14.5" hidden="1" x14ac:dyDescent="0.35">
      <c r="A297" s="203" t="s">
        <v>248</v>
      </c>
      <c r="B297" s="16" t="s">
        <v>347</v>
      </c>
      <c r="C297" s="16" t="s">
        <v>217</v>
      </c>
      <c r="D297" s="16" t="str">
        <f t="shared" si="8"/>
        <v>AfterSupported Living Plus without AccommodationProtea Care Homes</v>
      </c>
      <c r="E297" s="17">
        <v>25.59</v>
      </c>
      <c r="F297" s="141">
        <v>26.36</v>
      </c>
      <c r="G297" s="16" t="str">
        <f t="shared" si="9"/>
        <v>AfterSupported Living Plus without AccommodationProtea Care HomesSleep-in</v>
      </c>
      <c r="H297" s="141">
        <v>124.43</v>
      </c>
      <c r="I297" s="141">
        <v>871.01</v>
      </c>
      <c r="J297" s="140" t="s">
        <v>240</v>
      </c>
      <c r="K297" s="206" t="s">
        <v>252</v>
      </c>
    </row>
    <row r="298" spans="1:11" ht="14.5" hidden="1" x14ac:dyDescent="0.35">
      <c r="A298" s="203" t="s">
        <v>248</v>
      </c>
      <c r="B298" s="16" t="s">
        <v>347</v>
      </c>
      <c r="C298" s="16" t="s">
        <v>218</v>
      </c>
      <c r="D298" s="16" t="str">
        <f t="shared" si="8"/>
        <v>AfterSupported Living Plus without AccommodationQuality Care (EM)</v>
      </c>
      <c r="E298" s="17">
        <v>25.59</v>
      </c>
      <c r="F298" s="141">
        <v>26.36</v>
      </c>
      <c r="G298" s="16" t="str">
        <f t="shared" si="9"/>
        <v>AfterSupported Living Plus without AccommodationQuality Care (EM)Sleep-in</v>
      </c>
      <c r="H298" s="141">
        <v>124.43</v>
      </c>
      <c r="I298" s="141">
        <v>871.01</v>
      </c>
      <c r="J298" s="140" t="s">
        <v>240</v>
      </c>
      <c r="K298" s="206" t="s">
        <v>252</v>
      </c>
    </row>
    <row r="299" spans="1:11" ht="14.5" hidden="1" x14ac:dyDescent="0.35">
      <c r="A299" s="203" t="s">
        <v>248</v>
      </c>
      <c r="B299" s="16" t="s">
        <v>347</v>
      </c>
      <c r="C299" s="16" t="s">
        <v>77</v>
      </c>
      <c r="D299" s="16" t="str">
        <f t="shared" si="8"/>
        <v>AfterSupported Living Plus without AccommodationReach Learning Disability Care (CiC)</v>
      </c>
      <c r="E299" s="17">
        <v>25.59</v>
      </c>
      <c r="F299" s="141">
        <v>26.36</v>
      </c>
      <c r="G299" s="16" t="str">
        <f t="shared" si="9"/>
        <v>AfterSupported Living Plus without AccommodationReach Learning Disability Care (CiC)Sleep-in</v>
      </c>
      <c r="H299" s="141">
        <v>124.43</v>
      </c>
      <c r="I299" s="141">
        <v>871.01</v>
      </c>
      <c r="J299" s="140" t="s">
        <v>241</v>
      </c>
      <c r="K299" s="206" t="s">
        <v>252</v>
      </c>
    </row>
    <row r="300" spans="1:11" ht="14.5" hidden="1" x14ac:dyDescent="0.35">
      <c r="A300" s="203" t="s">
        <v>248</v>
      </c>
      <c r="B300" s="16" t="s">
        <v>347</v>
      </c>
      <c r="C300" s="16" t="s">
        <v>168</v>
      </c>
      <c r="D300" s="16" t="str">
        <f t="shared" si="8"/>
        <v>AfterSupported Living Plus without AccommodationReal Life Options</v>
      </c>
      <c r="E300" s="17">
        <v>25.59</v>
      </c>
      <c r="F300" s="141">
        <v>26.36</v>
      </c>
      <c r="G300" s="16" t="str">
        <f t="shared" si="9"/>
        <v>AfterSupported Living Plus without AccommodationReal Life OptionsSleep-in</v>
      </c>
      <c r="H300" s="141">
        <v>124.43</v>
      </c>
      <c r="I300" s="141">
        <v>871.01</v>
      </c>
      <c r="J300" s="140" t="s">
        <v>241</v>
      </c>
      <c r="K300" s="206" t="s">
        <v>252</v>
      </c>
    </row>
    <row r="301" spans="1:11" ht="14.5" hidden="1" x14ac:dyDescent="0.35">
      <c r="A301" s="203" t="s">
        <v>248</v>
      </c>
      <c r="B301" s="16" t="s">
        <v>347</v>
      </c>
      <c r="C301" s="16" t="s">
        <v>221</v>
      </c>
      <c r="D301" s="16" t="str">
        <f t="shared" si="8"/>
        <v>AfterSupported Living Plus without AccommodationServis Personal Ltd</v>
      </c>
      <c r="E301" s="17">
        <v>25.59</v>
      </c>
      <c r="F301" s="141">
        <v>26.36</v>
      </c>
      <c r="G301" s="16" t="str">
        <f t="shared" si="9"/>
        <v>AfterSupported Living Plus without AccommodationServis Personal LtdSleep-in</v>
      </c>
      <c r="H301" s="141">
        <v>124.43</v>
      </c>
      <c r="I301" s="141">
        <v>871.01</v>
      </c>
      <c r="J301" s="140" t="s">
        <v>240</v>
      </c>
      <c r="K301" s="206" t="s">
        <v>252</v>
      </c>
    </row>
    <row r="302" spans="1:11" ht="14.5" hidden="1" x14ac:dyDescent="0.35">
      <c r="A302" s="203" t="s">
        <v>248</v>
      </c>
      <c r="B302" s="16" t="s">
        <v>347</v>
      </c>
      <c r="C302" s="16" t="s">
        <v>16</v>
      </c>
      <c r="D302" s="16" t="str">
        <f t="shared" si="8"/>
        <v>AfterSupported Living Plus without AccommodationThera</v>
      </c>
      <c r="E302" s="17">
        <v>25.59</v>
      </c>
      <c r="F302" s="141">
        <v>26.36</v>
      </c>
      <c r="G302" s="16" t="str">
        <f t="shared" si="9"/>
        <v>AfterSupported Living Plus without AccommodationTheraSleep-in</v>
      </c>
      <c r="H302" s="141">
        <v>124.43</v>
      </c>
      <c r="I302" s="141">
        <v>871.01</v>
      </c>
      <c r="J302" s="140" t="s">
        <v>240</v>
      </c>
      <c r="K302" s="206" t="s">
        <v>252</v>
      </c>
    </row>
    <row r="303" spans="1:11" ht="14.5" hidden="1" x14ac:dyDescent="0.35">
      <c r="A303" s="203" t="s">
        <v>248</v>
      </c>
      <c r="B303" s="16" t="s">
        <v>347</v>
      </c>
      <c r="C303" s="16" t="s">
        <v>122</v>
      </c>
      <c r="D303" s="16" t="str">
        <f t="shared" si="8"/>
        <v>AfterSupported Living Plus without AccommodationTurning Point (CSE)</v>
      </c>
      <c r="E303" s="17">
        <v>25.59</v>
      </c>
      <c r="F303" s="141">
        <v>26.36</v>
      </c>
      <c r="G303" s="16" t="str">
        <f t="shared" si="9"/>
        <v>AfterSupported Living Plus without AccommodationTurning Point (CSE)Sleep-in</v>
      </c>
      <c r="H303" s="141">
        <v>124.43</v>
      </c>
      <c r="I303" s="141">
        <v>871.01</v>
      </c>
      <c r="J303" s="140" t="s">
        <v>240</v>
      </c>
      <c r="K303" s="206" t="s">
        <v>252</v>
      </c>
    </row>
    <row r="304" spans="1:11" ht="14.5" hidden="1" x14ac:dyDescent="0.35">
      <c r="A304" s="203" t="s">
        <v>248</v>
      </c>
      <c r="B304" s="16" t="s">
        <v>347</v>
      </c>
      <c r="C304" s="16" t="s">
        <v>17</v>
      </c>
      <c r="D304" s="16" t="str">
        <f t="shared" si="8"/>
        <v>AfterSupported Living Plus without AccommodationUnited Response</v>
      </c>
      <c r="E304" s="17">
        <v>25.59</v>
      </c>
      <c r="F304" s="141">
        <v>26.36</v>
      </c>
      <c r="G304" s="16" t="str">
        <f t="shared" si="9"/>
        <v>AfterSupported Living Plus without AccommodationUnited ResponseSleep-in</v>
      </c>
      <c r="H304" s="141">
        <v>124.43</v>
      </c>
      <c r="I304" s="141">
        <v>871.01</v>
      </c>
      <c r="J304" s="140" t="s">
        <v>240</v>
      </c>
      <c r="K304" s="206" t="s">
        <v>252</v>
      </c>
    </row>
    <row r="305" spans="1:12" ht="15" hidden="1" thickBot="1" x14ac:dyDescent="0.4">
      <c r="A305" s="204" t="s">
        <v>248</v>
      </c>
      <c r="B305" s="162" t="s">
        <v>347</v>
      </c>
      <c r="C305" s="162" t="s">
        <v>18</v>
      </c>
      <c r="D305" s="162" t="str">
        <f t="shared" si="8"/>
        <v>AfterSupported Living Plus without AccommodationVoyage</v>
      </c>
      <c r="E305" s="163">
        <v>25.59</v>
      </c>
      <c r="F305" s="157">
        <v>26.36</v>
      </c>
      <c r="G305" s="162" t="str">
        <f t="shared" si="9"/>
        <v>AfterSupported Living Plus without AccommodationVoyageSleep-in</v>
      </c>
      <c r="H305" s="157">
        <v>124.43</v>
      </c>
      <c r="I305" s="157">
        <v>871.01</v>
      </c>
      <c r="J305" s="145" t="s">
        <v>240</v>
      </c>
      <c r="K305" s="216" t="s">
        <v>252</v>
      </c>
      <c r="L305" s="25"/>
    </row>
    <row r="306" spans="1:12" ht="14.5" hidden="1" x14ac:dyDescent="0.35">
      <c r="A306" s="208" t="s">
        <v>248</v>
      </c>
      <c r="B306" s="209" t="s">
        <v>242</v>
      </c>
      <c r="C306" s="209" t="s">
        <v>228</v>
      </c>
      <c r="D306" s="209" t="str">
        <f t="shared" si="8"/>
        <v>AfterSupported Living Plus with accommodationAce Care 4 U Ltd</v>
      </c>
      <c r="E306" s="210">
        <v>25.59</v>
      </c>
      <c r="F306" s="184">
        <v>26.36</v>
      </c>
      <c r="G306" s="209" t="str">
        <f t="shared" si="9"/>
        <v>AfterSupported Living Plus with accommodationAce Care 4 U LtdSleep-in</v>
      </c>
      <c r="H306" s="184">
        <v>124.43</v>
      </c>
      <c r="I306" s="184">
        <v>871.01</v>
      </c>
      <c r="J306" s="185" t="s">
        <v>243</v>
      </c>
      <c r="K306" s="187" t="s">
        <v>252</v>
      </c>
    </row>
    <row r="307" spans="1:12" ht="14.5" hidden="1" x14ac:dyDescent="0.35">
      <c r="A307" s="211" t="s">
        <v>248</v>
      </c>
      <c r="B307" s="212" t="s">
        <v>242</v>
      </c>
      <c r="C307" s="212" t="s">
        <v>184</v>
      </c>
      <c r="D307" s="212" t="str">
        <f t="shared" si="8"/>
        <v>AfterSupported Living Plus with accommodationAchieve Together Ltd</v>
      </c>
      <c r="E307" s="213">
        <v>25.59</v>
      </c>
      <c r="F307" s="141">
        <v>26.36</v>
      </c>
      <c r="G307" s="212" t="str">
        <f t="shared" si="9"/>
        <v>AfterSupported Living Plus with accommodationAchieve Together LtdSleep-in</v>
      </c>
      <c r="H307" s="141">
        <v>124.43</v>
      </c>
      <c r="I307" s="141">
        <v>871.01</v>
      </c>
      <c r="J307" s="140" t="s">
        <v>243</v>
      </c>
      <c r="K307" s="206" t="s">
        <v>252</v>
      </c>
    </row>
    <row r="308" spans="1:12" ht="14.5" hidden="1" x14ac:dyDescent="0.35">
      <c r="A308" s="211" t="s">
        <v>248</v>
      </c>
      <c r="B308" s="212" t="s">
        <v>242</v>
      </c>
      <c r="C308" s="212" t="s">
        <v>186</v>
      </c>
      <c r="D308" s="212" t="str">
        <f t="shared" si="8"/>
        <v>AfterSupported Living Plus with accommodationAlpha Health &amp; Social Care Services Ltd</v>
      </c>
      <c r="E308" s="213">
        <v>25.59</v>
      </c>
      <c r="F308" s="141">
        <v>26.36</v>
      </c>
      <c r="G308" s="212" t="str">
        <f t="shared" si="9"/>
        <v>AfterSupported Living Plus with accommodationAlpha Health &amp; Social Care Services LtdSleep-in</v>
      </c>
      <c r="H308" s="141">
        <v>124.43</v>
      </c>
      <c r="I308" s="141">
        <v>871.01</v>
      </c>
      <c r="J308" s="140" t="s">
        <v>244</v>
      </c>
      <c r="K308" s="206" t="s">
        <v>252</v>
      </c>
    </row>
    <row r="309" spans="1:12" ht="14.5" hidden="1" x14ac:dyDescent="0.35">
      <c r="A309" s="268" t="s">
        <v>248</v>
      </c>
      <c r="B309" s="269" t="s">
        <v>242</v>
      </c>
      <c r="C309" s="269" t="s">
        <v>332</v>
      </c>
      <c r="D309" s="269" t="str">
        <f t="shared" si="8"/>
        <v>AfterSupported Living Plus with accommodationAOC Homecare (t/a Angel Oak Care)</v>
      </c>
      <c r="E309" s="270">
        <v>25.59</v>
      </c>
      <c r="F309" s="270">
        <v>26.36</v>
      </c>
      <c r="G309" s="269" t="str">
        <f t="shared" si="9"/>
        <v>AfterSupported Living Plus with accommodationAOC Homecare (t/a Angel Oak Care)Sleep-in</v>
      </c>
      <c r="H309" s="270">
        <v>124.43</v>
      </c>
      <c r="I309" s="270">
        <v>871.01</v>
      </c>
      <c r="J309" s="271" t="s">
        <v>333</v>
      </c>
      <c r="K309" s="206" t="s">
        <v>252</v>
      </c>
    </row>
    <row r="310" spans="1:12" ht="14.5" hidden="1" x14ac:dyDescent="0.35">
      <c r="A310" s="211" t="s">
        <v>248</v>
      </c>
      <c r="B310" s="212" t="s">
        <v>242</v>
      </c>
      <c r="C310" s="212" t="s">
        <v>188</v>
      </c>
      <c r="D310" s="212" t="str">
        <f t="shared" si="8"/>
        <v>AfterSupported Living Plus with accommodationArchangel Enterprises Ltd</v>
      </c>
      <c r="E310" s="213">
        <v>25.59</v>
      </c>
      <c r="F310" s="141">
        <v>26.36</v>
      </c>
      <c r="G310" s="212" t="str">
        <f t="shared" si="9"/>
        <v>AfterSupported Living Plus with accommodationArchangel Enterprises LtdSleep-in</v>
      </c>
      <c r="H310" s="141">
        <v>124.43</v>
      </c>
      <c r="I310" s="141">
        <v>871.01</v>
      </c>
      <c r="J310" s="140" t="s">
        <v>243</v>
      </c>
      <c r="K310" s="206" t="s">
        <v>252</v>
      </c>
    </row>
    <row r="311" spans="1:12" ht="14.5" hidden="1" x14ac:dyDescent="0.35">
      <c r="A311" s="211" t="s">
        <v>248</v>
      </c>
      <c r="B311" s="212" t="s">
        <v>242</v>
      </c>
      <c r="C311" s="212" t="s">
        <v>163</v>
      </c>
      <c r="D311" s="212" t="str">
        <f t="shared" si="8"/>
        <v>AfterSupported Living Plus with accommodationAspirations Care Ltd</v>
      </c>
      <c r="E311" s="213">
        <v>25.59</v>
      </c>
      <c r="F311" s="141">
        <v>26.36</v>
      </c>
      <c r="G311" s="212" t="str">
        <f t="shared" si="9"/>
        <v>AfterSupported Living Plus with accommodationAspirations Care LtdSleep-in</v>
      </c>
      <c r="H311" s="141">
        <v>124.43</v>
      </c>
      <c r="I311" s="141">
        <v>871.01</v>
      </c>
      <c r="J311" s="140" t="s">
        <v>243</v>
      </c>
      <c r="K311" s="206" t="s">
        <v>252</v>
      </c>
    </row>
    <row r="312" spans="1:12" ht="14.5" hidden="1" x14ac:dyDescent="0.35">
      <c r="A312" s="212" t="s">
        <v>248</v>
      </c>
      <c r="B312" s="212" t="s">
        <v>242</v>
      </c>
      <c r="C312" s="212" t="s">
        <v>189</v>
      </c>
      <c r="D312" s="212" t="str">
        <f t="shared" si="8"/>
        <v>AfterSupported Living Plus with accommodationAutism East Midlands</v>
      </c>
      <c r="E312" s="214">
        <v>25.59</v>
      </c>
      <c r="F312" s="141">
        <v>26.36</v>
      </c>
      <c r="G312" s="212" t="str">
        <f t="shared" si="9"/>
        <v>AfterSupported Living Plus with accommodationAutism East MidlandsSleep-in</v>
      </c>
      <c r="H312" s="141">
        <v>124.43</v>
      </c>
      <c r="I312" s="141">
        <v>871.01</v>
      </c>
      <c r="J312" s="140" t="s">
        <v>241</v>
      </c>
      <c r="K312" s="206" t="s">
        <v>252</v>
      </c>
    </row>
    <row r="313" spans="1:12" ht="14.5" hidden="1" x14ac:dyDescent="0.35">
      <c r="A313" s="211" t="s">
        <v>248</v>
      </c>
      <c r="B313" s="212" t="s">
        <v>242</v>
      </c>
      <c r="C313" s="212" t="s">
        <v>190</v>
      </c>
      <c r="D313" s="212" t="str">
        <f t="shared" si="8"/>
        <v>AfterSupported Living Plus with accommodationAxis Recruitment Ltd</v>
      </c>
      <c r="E313" s="213">
        <v>25.59</v>
      </c>
      <c r="F313" s="141">
        <v>26.36</v>
      </c>
      <c r="G313" s="212" t="str">
        <f t="shared" si="9"/>
        <v>AfterSupported Living Plus with accommodationAxis Recruitment LtdSleep-in</v>
      </c>
      <c r="H313" s="141">
        <v>124.43</v>
      </c>
      <c r="I313" s="141">
        <v>871.01</v>
      </c>
      <c r="J313" s="140" t="s">
        <v>243</v>
      </c>
      <c r="K313" s="206" t="s">
        <v>252</v>
      </c>
    </row>
    <row r="314" spans="1:12" ht="14.5" hidden="1" x14ac:dyDescent="0.35">
      <c r="A314" s="211" t="s">
        <v>248</v>
      </c>
      <c r="B314" s="212" t="s">
        <v>242</v>
      </c>
      <c r="C314" s="212" t="s">
        <v>229</v>
      </c>
      <c r="D314" s="212" t="str">
        <f t="shared" si="8"/>
        <v>AfterSupported Living Plus with accommodationBespoke Health &amp; Social Care</v>
      </c>
      <c r="E314" s="213">
        <v>25.59</v>
      </c>
      <c r="F314" s="141">
        <v>26.36</v>
      </c>
      <c r="G314" s="212" t="str">
        <f t="shared" si="9"/>
        <v>AfterSupported Living Plus with accommodationBespoke Health &amp; Social CareSleep-in</v>
      </c>
      <c r="H314" s="141">
        <v>124.43</v>
      </c>
      <c r="I314" s="141">
        <v>871.01</v>
      </c>
      <c r="J314" s="140" t="s">
        <v>243</v>
      </c>
      <c r="K314" s="206" t="s">
        <v>252</v>
      </c>
    </row>
    <row r="315" spans="1:12" ht="14.5" hidden="1" x14ac:dyDescent="0.35">
      <c r="A315" s="211" t="s">
        <v>248</v>
      </c>
      <c r="B315" s="212" t="s">
        <v>242</v>
      </c>
      <c r="C315" s="212" t="s">
        <v>191</v>
      </c>
      <c r="D315" s="212" t="str">
        <f t="shared" si="8"/>
        <v>AfterSupported Living Plus with accommodationBreak Barriers (Nottingham) Ltd</v>
      </c>
      <c r="E315" s="213">
        <v>25.59</v>
      </c>
      <c r="F315" s="141">
        <v>26.36</v>
      </c>
      <c r="G315" s="212" t="str">
        <f t="shared" si="9"/>
        <v>AfterSupported Living Plus with accommodationBreak Barriers (Nottingham) LtdSleep-in</v>
      </c>
      <c r="H315" s="141">
        <v>124.43</v>
      </c>
      <c r="I315" s="141">
        <v>871.01</v>
      </c>
      <c r="J315" s="140" t="s">
        <v>244</v>
      </c>
      <c r="K315" s="206" t="s">
        <v>252</v>
      </c>
    </row>
    <row r="316" spans="1:12" ht="14.5" x14ac:dyDescent="0.35">
      <c r="A316" s="211" t="s">
        <v>248</v>
      </c>
      <c r="B316" s="212" t="s">
        <v>242</v>
      </c>
      <c r="C316" s="212" t="s">
        <v>11</v>
      </c>
      <c r="D316" s="212" t="str">
        <f t="shared" si="8"/>
        <v>AfterSupported Living Plus with accommodationCIC</v>
      </c>
      <c r="E316" s="213">
        <v>25.59</v>
      </c>
      <c r="F316" s="141">
        <v>26.36</v>
      </c>
      <c r="G316" s="212" t="str">
        <f t="shared" si="9"/>
        <v>AfterSupported Living Plus with accommodationCICSleep-in</v>
      </c>
      <c r="H316" s="141">
        <v>124.43</v>
      </c>
      <c r="I316" s="141">
        <v>871.01</v>
      </c>
      <c r="J316" s="140" t="s">
        <v>243</v>
      </c>
      <c r="K316" s="206" t="s">
        <v>252</v>
      </c>
    </row>
    <row r="317" spans="1:12" ht="14.5" hidden="1" x14ac:dyDescent="0.35">
      <c r="A317" s="211" t="s">
        <v>248</v>
      </c>
      <c r="B317" s="212" t="s">
        <v>242</v>
      </c>
      <c r="C317" s="212" t="s">
        <v>195</v>
      </c>
      <c r="D317" s="212" t="str">
        <f t="shared" si="8"/>
        <v>AfterSupported Living Plus with accommodationCommit2Care Services Ltd</v>
      </c>
      <c r="E317" s="213">
        <v>25.59</v>
      </c>
      <c r="F317" s="141">
        <v>26.36</v>
      </c>
      <c r="G317" s="212" t="str">
        <f t="shared" si="9"/>
        <v>AfterSupported Living Plus with accommodationCommit2Care Services LtdSleep-in</v>
      </c>
      <c r="H317" s="141">
        <v>124.43</v>
      </c>
      <c r="I317" s="141">
        <v>871.01</v>
      </c>
      <c r="J317" s="140" t="s">
        <v>243</v>
      </c>
      <c r="K317" s="206" t="s">
        <v>252</v>
      </c>
    </row>
    <row r="318" spans="1:12" ht="14.5" hidden="1" x14ac:dyDescent="0.35">
      <c r="A318" s="263" t="s">
        <v>248</v>
      </c>
      <c r="B318" s="264" t="s">
        <v>242</v>
      </c>
      <c r="C318" s="264" t="s">
        <v>353</v>
      </c>
      <c r="D318" s="264" t="str">
        <f t="shared" si="8"/>
        <v xml:space="preserve">AfterSupported Living Plus with accommodationConsensus Community Support Ltd </v>
      </c>
      <c r="E318" s="264">
        <v>25.59</v>
      </c>
      <c r="F318" s="277">
        <v>26.36</v>
      </c>
      <c r="G318" s="264" t="str">
        <f t="shared" si="9"/>
        <v>AfterSupported Living Plus with accommodationConsensus Community Support Ltd Sleep-in</v>
      </c>
      <c r="H318" s="265">
        <v>124.43</v>
      </c>
      <c r="I318" s="265">
        <v>871.01</v>
      </c>
      <c r="J318" s="272" t="s">
        <v>331</v>
      </c>
      <c r="K318" s="241"/>
    </row>
    <row r="319" spans="1:12" ht="14.5" hidden="1" x14ac:dyDescent="0.35">
      <c r="A319" s="211" t="s">
        <v>248</v>
      </c>
      <c r="B319" s="212" t="s">
        <v>242</v>
      </c>
      <c r="C319" s="212" t="s">
        <v>230</v>
      </c>
      <c r="D319" s="212" t="str">
        <f t="shared" si="8"/>
        <v>AfterSupported Living Plus with accommodationCraegmoor Supporting You Ltd</v>
      </c>
      <c r="E319" s="213">
        <v>25.59</v>
      </c>
      <c r="F319" s="141">
        <v>26.36</v>
      </c>
      <c r="G319" s="212" t="str">
        <f t="shared" si="9"/>
        <v>AfterSupported Living Plus with accommodationCraegmoor Supporting You LtdSleep-in</v>
      </c>
      <c r="H319" s="141">
        <v>124.43</v>
      </c>
      <c r="I319" s="141">
        <v>871.01</v>
      </c>
      <c r="J319" s="140" t="s">
        <v>243</v>
      </c>
      <c r="K319" s="206" t="s">
        <v>252</v>
      </c>
    </row>
    <row r="320" spans="1:12" ht="14.5" hidden="1" x14ac:dyDescent="0.35">
      <c r="A320" s="211" t="s">
        <v>248</v>
      </c>
      <c r="B320" s="212" t="s">
        <v>242</v>
      </c>
      <c r="C320" s="212" t="s">
        <v>196</v>
      </c>
      <c r="D320" s="212" t="str">
        <f t="shared" si="8"/>
        <v>AfterSupported Living Plus with accommodationDepax Ltd</v>
      </c>
      <c r="E320" s="213">
        <v>25.59</v>
      </c>
      <c r="F320" s="141">
        <v>26.36</v>
      </c>
      <c r="G320" s="212" t="str">
        <f t="shared" si="9"/>
        <v>AfterSupported Living Plus with accommodationDepax LtdSleep-in</v>
      </c>
      <c r="H320" s="141">
        <v>124.43</v>
      </c>
      <c r="I320" s="141">
        <v>871.01</v>
      </c>
      <c r="J320" s="140" t="s">
        <v>244</v>
      </c>
      <c r="K320" s="206" t="s">
        <v>252</v>
      </c>
    </row>
    <row r="321" spans="1:11" ht="14.5" hidden="1" x14ac:dyDescent="0.35">
      <c r="A321" s="211" t="s">
        <v>248</v>
      </c>
      <c r="B321" s="212" t="s">
        <v>242</v>
      </c>
      <c r="C321" s="212" t="s">
        <v>342</v>
      </c>
      <c r="D321" s="212" t="str">
        <f t="shared" si="8"/>
        <v xml:space="preserve">AfterSupported Living Plus with accommodationEden Supported Living </v>
      </c>
      <c r="E321" s="213">
        <v>25.59</v>
      </c>
      <c r="F321" s="141">
        <v>26.36</v>
      </c>
      <c r="G321" s="212" t="str">
        <f t="shared" si="9"/>
        <v>AfterSupported Living Plus with accommodationEden Supported Living Sleep-in</v>
      </c>
      <c r="H321" s="141">
        <v>124.43</v>
      </c>
      <c r="I321" s="141">
        <v>871.01</v>
      </c>
      <c r="J321" s="140" t="s">
        <v>243</v>
      </c>
      <c r="K321" s="206" t="s">
        <v>252</v>
      </c>
    </row>
    <row r="322" spans="1:11" ht="15" hidden="1" thickBot="1" x14ac:dyDescent="0.4">
      <c r="A322" s="263" t="s">
        <v>248</v>
      </c>
      <c r="B322" s="264" t="s">
        <v>242</v>
      </c>
      <c r="C322" s="264" t="s">
        <v>337</v>
      </c>
      <c r="D322" s="264" t="str">
        <f t="shared" si="8"/>
        <v>AfterSupported Living Plus with accommodationFestygreat Divers Enterprise Ltd(t/a Festygreat Healthcare)</v>
      </c>
      <c r="E322" s="265">
        <v>25.59</v>
      </c>
      <c r="F322" s="265">
        <v>26.36</v>
      </c>
      <c r="G322" s="264" t="str">
        <f t="shared" si="9"/>
        <v>AfterSupported Living Plus with accommodationFestygreat Divers Enterprise Ltd(t/a Festygreat Healthcare)Sleep-in</v>
      </c>
      <c r="H322" s="265">
        <v>124.43</v>
      </c>
      <c r="I322" s="265">
        <v>871.01</v>
      </c>
      <c r="J322" s="272" t="s">
        <v>338</v>
      </c>
      <c r="K322" s="216" t="s">
        <v>252</v>
      </c>
    </row>
    <row r="323" spans="1:11" ht="14.5" hidden="1" x14ac:dyDescent="0.35">
      <c r="A323" s="211" t="s">
        <v>248</v>
      </c>
      <c r="B323" s="212" t="s">
        <v>242</v>
      </c>
      <c r="C323" s="212" t="s">
        <v>12</v>
      </c>
      <c r="D323" s="212" t="str">
        <f t="shared" ref="D323:D386" si="10">A323&amp;B323&amp;C323</f>
        <v>AfterSupported Living Plus with accommodationFitzroy</v>
      </c>
      <c r="E323" s="215">
        <v>25.59</v>
      </c>
      <c r="F323" s="138">
        <v>26.36</v>
      </c>
      <c r="G323" s="212" t="str">
        <f t="shared" ref="G323:G386" si="11">A323&amp;B323&amp;C323&amp;"Sleep-in"</f>
        <v>AfterSupported Living Plus with accommodationFitzroySleep-in</v>
      </c>
      <c r="H323" s="141">
        <v>124.43</v>
      </c>
      <c r="I323" s="141">
        <v>871.01</v>
      </c>
      <c r="J323" s="140" t="s">
        <v>243</v>
      </c>
      <c r="K323" s="278" t="s">
        <v>252</v>
      </c>
    </row>
    <row r="324" spans="1:11" ht="14.5" hidden="1" x14ac:dyDescent="0.35">
      <c r="A324" s="211" t="s">
        <v>248</v>
      </c>
      <c r="B324" s="212" t="s">
        <v>242</v>
      </c>
      <c r="C324" s="212" t="s">
        <v>63</v>
      </c>
      <c r="D324" s="212" t="str">
        <f t="shared" si="10"/>
        <v>AfterSupported Living Plus with accommodationFosse Healthcare (CSE)</v>
      </c>
      <c r="E324" s="213">
        <v>25.59</v>
      </c>
      <c r="F324" s="141">
        <v>26.36</v>
      </c>
      <c r="G324" s="212" t="str">
        <f t="shared" si="11"/>
        <v>AfterSupported Living Plus with accommodationFosse Healthcare (CSE)Sleep-in</v>
      </c>
      <c r="H324" s="141">
        <v>124.43</v>
      </c>
      <c r="I324" s="141">
        <v>871.01</v>
      </c>
      <c r="J324" s="140" t="s">
        <v>243</v>
      </c>
    </row>
    <row r="325" spans="1:11" ht="14.5" hidden="1" x14ac:dyDescent="0.35">
      <c r="A325" s="211" t="s">
        <v>248</v>
      </c>
      <c r="B325" s="212" t="s">
        <v>242</v>
      </c>
      <c r="C325" s="212" t="s">
        <v>199</v>
      </c>
      <c r="D325" s="212" t="str">
        <f t="shared" si="10"/>
        <v>AfterSupported Living Plus with accommodationFredas Care Ltd</v>
      </c>
      <c r="E325" s="213">
        <v>25.59</v>
      </c>
      <c r="F325" s="141">
        <v>26.36</v>
      </c>
      <c r="G325" s="212" t="str">
        <f t="shared" si="11"/>
        <v>AfterSupported Living Plus with accommodationFredas Care LtdSleep-in</v>
      </c>
      <c r="H325" s="141">
        <v>124.43</v>
      </c>
      <c r="I325" s="141">
        <v>871.01</v>
      </c>
      <c r="J325" s="140" t="s">
        <v>243</v>
      </c>
    </row>
    <row r="326" spans="1:11" ht="14.5" hidden="1" x14ac:dyDescent="0.35">
      <c r="A326" s="211" t="s">
        <v>248</v>
      </c>
      <c r="B326" s="212" t="s">
        <v>242</v>
      </c>
      <c r="C326" s="212" t="s">
        <v>13</v>
      </c>
      <c r="D326" s="212" t="str">
        <f t="shared" si="10"/>
        <v>AfterSupported Living Plus with accommodationFuture Homecare</v>
      </c>
      <c r="E326" s="213">
        <v>25.59</v>
      </c>
      <c r="F326" s="141">
        <v>26.36</v>
      </c>
      <c r="G326" s="212" t="str">
        <f t="shared" si="11"/>
        <v>AfterSupported Living Plus with accommodationFuture HomecareSleep-in</v>
      </c>
      <c r="H326" s="141">
        <v>124.43</v>
      </c>
      <c r="I326" s="141">
        <v>871.01</v>
      </c>
      <c r="J326" s="140" t="s">
        <v>243</v>
      </c>
    </row>
    <row r="327" spans="1:11" ht="14.5" hidden="1" x14ac:dyDescent="0.35">
      <c r="A327" s="211" t="s">
        <v>248</v>
      </c>
      <c r="B327" s="212" t="s">
        <v>242</v>
      </c>
      <c r="C327" s="212" t="s">
        <v>200</v>
      </c>
      <c r="D327" s="212" t="str">
        <f t="shared" si="10"/>
        <v>AfterSupported Living Plus with accommodationGemini Exclusive Care</v>
      </c>
      <c r="E327" s="213">
        <v>25.59</v>
      </c>
      <c r="F327" s="141">
        <v>26.36</v>
      </c>
      <c r="G327" s="212" t="str">
        <f t="shared" si="11"/>
        <v>AfterSupported Living Plus with accommodationGemini Exclusive CareSleep-in</v>
      </c>
      <c r="H327" s="141">
        <v>124.43</v>
      </c>
      <c r="I327" s="141">
        <v>871.01</v>
      </c>
      <c r="J327" s="140" t="s">
        <v>243</v>
      </c>
    </row>
    <row r="328" spans="1:11" ht="14.5" hidden="1" x14ac:dyDescent="0.35">
      <c r="A328" s="211" t="s">
        <v>248</v>
      </c>
      <c r="B328" s="212" t="s">
        <v>242</v>
      </c>
      <c r="C328" s="212" t="s">
        <v>201</v>
      </c>
      <c r="D328" s="212" t="str">
        <f t="shared" si="10"/>
        <v>AfterSupported Living Plus with accommodationGlobal Support &amp; Care Ltd</v>
      </c>
      <c r="E328" s="213">
        <v>25.59</v>
      </c>
      <c r="F328" s="141">
        <v>26.36</v>
      </c>
      <c r="G328" s="212" t="str">
        <f t="shared" si="11"/>
        <v>AfterSupported Living Plus with accommodationGlobal Support &amp; Care LtdSleep-in</v>
      </c>
      <c r="H328" s="141">
        <v>124.43</v>
      </c>
      <c r="I328" s="141">
        <v>871.01</v>
      </c>
      <c r="J328" s="140" t="s">
        <v>243</v>
      </c>
    </row>
    <row r="329" spans="1:11" ht="14.5" hidden="1" x14ac:dyDescent="0.35">
      <c r="A329" s="212" t="s">
        <v>248</v>
      </c>
      <c r="B329" s="212" t="s">
        <v>242</v>
      </c>
      <c r="C329" s="212" t="s">
        <v>202</v>
      </c>
      <c r="D329" s="212" t="str">
        <f t="shared" si="10"/>
        <v>AfterSupported Living Plus with accommodationGP Homecare Ltd t/a Radis Community Care</v>
      </c>
      <c r="E329" s="213">
        <v>25.59</v>
      </c>
      <c r="F329" s="141">
        <v>26.36</v>
      </c>
      <c r="G329" s="212" t="str">
        <f t="shared" si="11"/>
        <v>AfterSupported Living Plus with accommodationGP Homecare Ltd t/a Radis Community CareSleep-in</v>
      </c>
      <c r="H329" s="141">
        <v>124.43</v>
      </c>
      <c r="I329" s="141">
        <v>871.01</v>
      </c>
      <c r="J329" s="1" t="s">
        <v>243</v>
      </c>
    </row>
    <row r="330" spans="1:11" ht="14.5" hidden="1" x14ac:dyDescent="0.35">
      <c r="A330" s="211" t="s">
        <v>248</v>
      </c>
      <c r="B330" s="212" t="s">
        <v>242</v>
      </c>
      <c r="C330" s="212" t="s">
        <v>204</v>
      </c>
      <c r="D330" s="212" t="str">
        <f t="shared" si="10"/>
        <v>AfterSupported Living Plus with accommodationHearts at Home Homecare Ltd</v>
      </c>
      <c r="E330" s="213">
        <v>25.59</v>
      </c>
      <c r="F330" s="141">
        <v>26.36</v>
      </c>
      <c r="G330" s="212" t="str">
        <f t="shared" si="11"/>
        <v>AfterSupported Living Plus with accommodationHearts at Home Homecare LtdSleep-in</v>
      </c>
      <c r="H330" s="141">
        <v>124.43</v>
      </c>
      <c r="I330" s="141">
        <v>871.01</v>
      </c>
      <c r="J330" s="140" t="s">
        <v>243</v>
      </c>
    </row>
    <row r="331" spans="1:11" ht="14.5" hidden="1" x14ac:dyDescent="0.35">
      <c r="A331" s="211" t="s">
        <v>248</v>
      </c>
      <c r="B331" s="212" t="s">
        <v>242</v>
      </c>
      <c r="C331" s="212" t="s">
        <v>205</v>
      </c>
      <c r="D331" s="212" t="str">
        <f t="shared" si="10"/>
        <v>AfterSupported Living Plus with accommodationHeathcotes (BDT)</v>
      </c>
      <c r="E331" s="213">
        <v>25.59</v>
      </c>
      <c r="F331" s="141">
        <v>26.36</v>
      </c>
      <c r="G331" s="212" t="str">
        <f t="shared" si="11"/>
        <v>AfterSupported Living Plus with accommodationHeathcotes (BDT)Sleep-in</v>
      </c>
      <c r="H331" s="141">
        <v>124.43</v>
      </c>
      <c r="I331" s="141">
        <v>871.01</v>
      </c>
      <c r="J331" s="140" t="s">
        <v>243</v>
      </c>
    </row>
    <row r="332" spans="1:11" ht="14.5" hidden="1" x14ac:dyDescent="0.35">
      <c r="A332" s="211" t="s">
        <v>248</v>
      </c>
      <c r="B332" s="212" t="s">
        <v>242</v>
      </c>
      <c r="C332" s="212" t="s">
        <v>206</v>
      </c>
      <c r="D332" s="212" t="str">
        <f t="shared" si="10"/>
        <v>AfterSupported Living Plus with accommodationJes Care Services Ltd</v>
      </c>
      <c r="E332" s="213">
        <v>25.59</v>
      </c>
      <c r="F332" s="141">
        <v>26.36</v>
      </c>
      <c r="G332" s="212" t="str">
        <f t="shared" si="11"/>
        <v>AfterSupported Living Plus with accommodationJes Care Services LtdSleep-in</v>
      </c>
      <c r="H332" s="141">
        <v>124.43</v>
      </c>
      <c r="I332" s="141">
        <v>871.01</v>
      </c>
      <c r="J332" s="140" t="s">
        <v>244</v>
      </c>
    </row>
    <row r="333" spans="1:11" ht="14.5" hidden="1" x14ac:dyDescent="0.35">
      <c r="A333" s="211" t="s">
        <v>248</v>
      </c>
      <c r="B333" s="212" t="s">
        <v>242</v>
      </c>
      <c r="C333" s="212" t="s">
        <v>207</v>
      </c>
      <c r="D333" s="212" t="str">
        <f t="shared" si="10"/>
        <v>AfterSupported Living Plus with accommodationKeys PCE Ltd</v>
      </c>
      <c r="E333" s="213">
        <v>25.59</v>
      </c>
      <c r="F333" s="141">
        <v>26.36</v>
      </c>
      <c r="G333" s="212" t="str">
        <f t="shared" si="11"/>
        <v>AfterSupported Living Plus with accommodationKeys PCE LtdSleep-in</v>
      </c>
      <c r="H333" s="141">
        <v>124.43</v>
      </c>
      <c r="I333" s="141">
        <v>871.01</v>
      </c>
      <c r="J333" s="140" t="s">
        <v>243</v>
      </c>
    </row>
    <row r="334" spans="1:11" ht="14.5" hidden="1" x14ac:dyDescent="0.35">
      <c r="A334" s="211" t="s">
        <v>248</v>
      </c>
      <c r="B334" s="212" t="s">
        <v>242</v>
      </c>
      <c r="C334" s="212" t="s">
        <v>14</v>
      </c>
      <c r="D334" s="212" t="str">
        <f t="shared" si="10"/>
        <v>AfterSupported Living Plus with accommodationLifeways</v>
      </c>
      <c r="E334" s="213">
        <v>25.59</v>
      </c>
      <c r="F334" s="141">
        <v>26.36</v>
      </c>
      <c r="G334" s="212" t="str">
        <f t="shared" si="11"/>
        <v>AfterSupported Living Plus with accommodationLifewaysSleep-in</v>
      </c>
      <c r="H334" s="141">
        <v>124.43</v>
      </c>
      <c r="I334" s="141">
        <v>871.01</v>
      </c>
      <c r="J334" s="140" t="s">
        <v>243</v>
      </c>
    </row>
    <row r="335" spans="1:11" ht="14.5" hidden="1" x14ac:dyDescent="0.35">
      <c r="A335" s="211" t="s">
        <v>248</v>
      </c>
      <c r="B335" s="212" t="s">
        <v>242</v>
      </c>
      <c r="C335" s="212" t="s">
        <v>213</v>
      </c>
      <c r="D335" s="212" t="str">
        <f t="shared" si="10"/>
        <v>AfterSupported Living Plus with accommodationMidco Care Ltd</v>
      </c>
      <c r="E335" s="213">
        <v>25.59</v>
      </c>
      <c r="F335" s="141">
        <v>26.36</v>
      </c>
      <c r="G335" s="212" t="str">
        <f t="shared" si="11"/>
        <v>AfterSupported Living Plus with accommodationMidco Care LtdSleep-in</v>
      </c>
      <c r="H335" s="141">
        <v>124.43</v>
      </c>
      <c r="I335" s="141">
        <v>871.01</v>
      </c>
      <c r="J335" s="140" t="s">
        <v>243</v>
      </c>
    </row>
    <row r="336" spans="1:11" ht="14.5" hidden="1" x14ac:dyDescent="0.35">
      <c r="A336" s="211" t="s">
        <v>248</v>
      </c>
      <c r="B336" s="212" t="s">
        <v>242</v>
      </c>
      <c r="C336" s="212" t="s">
        <v>343</v>
      </c>
      <c r="D336" s="212" t="str">
        <f t="shared" si="10"/>
        <v>AfterSupported Living Plus with accommodationMidway Care Group</v>
      </c>
      <c r="E336" s="213">
        <v>25.59</v>
      </c>
      <c r="F336" s="141">
        <v>26.36</v>
      </c>
      <c r="G336" s="212" t="str">
        <f t="shared" si="11"/>
        <v>AfterSupported Living Plus with accommodationMidway Care GroupSleep-in</v>
      </c>
      <c r="H336" s="141">
        <v>124.43</v>
      </c>
      <c r="I336" s="141">
        <v>871.01</v>
      </c>
      <c r="J336" s="140" t="s">
        <v>243</v>
      </c>
    </row>
    <row r="337" spans="1:12" ht="14.5" hidden="1" x14ac:dyDescent="0.35">
      <c r="A337" s="211" t="s">
        <v>248</v>
      </c>
      <c r="B337" s="212" t="s">
        <v>242</v>
      </c>
      <c r="C337" s="212" t="s">
        <v>339</v>
      </c>
      <c r="D337" s="212" t="str">
        <f t="shared" si="10"/>
        <v>AfterSupported Living Plus with accommodationMyHomecareNottingham</v>
      </c>
      <c r="E337" s="213">
        <v>25.59</v>
      </c>
      <c r="F337" s="141">
        <v>26.36</v>
      </c>
      <c r="G337" s="212" t="str">
        <f t="shared" si="11"/>
        <v>AfterSupported Living Plus with accommodationMyHomecareNottinghamSleep-in</v>
      </c>
      <c r="H337" s="141">
        <v>124.43</v>
      </c>
      <c r="I337" s="141">
        <v>871.01</v>
      </c>
      <c r="J337" s="140" t="s">
        <v>243</v>
      </c>
    </row>
    <row r="338" spans="1:12" ht="14.5" hidden="1" x14ac:dyDescent="0.35">
      <c r="A338" s="211" t="s">
        <v>248</v>
      </c>
      <c r="B338" s="212" t="s">
        <v>242</v>
      </c>
      <c r="C338" s="212" t="s">
        <v>214</v>
      </c>
      <c r="D338" s="212" t="str">
        <f t="shared" si="10"/>
        <v>AfterSupported Living Plus with accommodationNardus Healthcare</v>
      </c>
      <c r="E338" s="213">
        <v>25.59</v>
      </c>
      <c r="F338" s="141">
        <v>26.36</v>
      </c>
      <c r="G338" s="212" t="str">
        <f t="shared" si="11"/>
        <v>AfterSupported Living Plus with accommodationNardus HealthcareSleep-in</v>
      </c>
      <c r="H338" s="141">
        <v>124.43</v>
      </c>
      <c r="I338" s="141">
        <v>871.01</v>
      </c>
      <c r="J338" s="140" t="s">
        <v>243</v>
      </c>
    </row>
    <row r="339" spans="1:12" ht="14.5" hidden="1" x14ac:dyDescent="0.35">
      <c r="A339" s="211" t="s">
        <v>248</v>
      </c>
      <c r="B339" s="212" t="s">
        <v>242</v>
      </c>
      <c r="C339" s="212" t="s">
        <v>15</v>
      </c>
      <c r="D339" s="212" t="str">
        <f t="shared" si="10"/>
        <v>AfterSupported Living Plus with accommodationNCHA</v>
      </c>
      <c r="E339" s="213">
        <v>25.59</v>
      </c>
      <c r="F339" s="141">
        <v>26.36</v>
      </c>
      <c r="G339" s="212" t="str">
        <f t="shared" si="11"/>
        <v>AfterSupported Living Plus with accommodationNCHASleep-in</v>
      </c>
      <c r="H339" s="141">
        <v>124.43</v>
      </c>
      <c r="I339" s="141">
        <v>871.01</v>
      </c>
      <c r="J339" s="140" t="s">
        <v>243</v>
      </c>
    </row>
    <row r="340" spans="1:12" ht="14.5" hidden="1" x14ac:dyDescent="0.35">
      <c r="A340" s="211" t="s">
        <v>248</v>
      </c>
      <c r="B340" s="212" t="s">
        <v>242</v>
      </c>
      <c r="C340" s="212" t="s">
        <v>344</v>
      </c>
      <c r="D340" s="212" t="str">
        <f t="shared" si="10"/>
        <v xml:space="preserve">AfterSupported Living Plus with accommodationPerthyn </v>
      </c>
      <c r="E340" s="213">
        <v>25.59</v>
      </c>
      <c r="F340" s="141">
        <v>26.36</v>
      </c>
      <c r="G340" s="212" t="str">
        <f t="shared" si="11"/>
        <v>AfterSupported Living Plus with accommodationPerthyn Sleep-in</v>
      </c>
      <c r="H340" s="141">
        <v>124.43</v>
      </c>
      <c r="I340" s="141">
        <v>871.01</v>
      </c>
      <c r="J340" s="140" t="s">
        <v>243</v>
      </c>
    </row>
    <row r="341" spans="1:12" ht="14.5" hidden="1" x14ac:dyDescent="0.35">
      <c r="A341" s="211" t="s">
        <v>248</v>
      </c>
      <c r="B341" s="212" t="s">
        <v>242</v>
      </c>
      <c r="C341" s="212" t="s">
        <v>341</v>
      </c>
      <c r="D341" s="212" t="str">
        <f t="shared" si="10"/>
        <v xml:space="preserve">AfterSupported Living Plus with accommodationPotens </v>
      </c>
      <c r="E341" s="213">
        <v>25.59</v>
      </c>
      <c r="F341" s="141">
        <v>26.36</v>
      </c>
      <c r="G341" s="212" t="str">
        <f t="shared" si="11"/>
        <v>AfterSupported Living Plus with accommodationPotens Sleep-in</v>
      </c>
      <c r="H341" s="141">
        <v>124.43</v>
      </c>
      <c r="I341" s="141">
        <v>871.01</v>
      </c>
      <c r="J341" s="140" t="s">
        <v>243</v>
      </c>
    </row>
    <row r="342" spans="1:12" ht="14.5" hidden="1" x14ac:dyDescent="0.35">
      <c r="A342" s="211" t="s">
        <v>248</v>
      </c>
      <c r="B342" s="212" t="s">
        <v>242</v>
      </c>
      <c r="C342" s="212" t="s">
        <v>340</v>
      </c>
      <c r="D342" s="212" t="str">
        <f t="shared" si="10"/>
        <v xml:space="preserve">AfterSupported Living Plus with accommodationPrinciple Support </v>
      </c>
      <c r="E342" s="213">
        <v>25.59</v>
      </c>
      <c r="F342" s="141">
        <v>26.36</v>
      </c>
      <c r="G342" s="212" t="str">
        <f t="shared" si="11"/>
        <v>AfterSupported Living Plus with accommodationPrinciple Support Sleep-in</v>
      </c>
      <c r="H342" s="141">
        <v>124.43</v>
      </c>
      <c r="I342" s="141">
        <v>871.01</v>
      </c>
      <c r="J342" s="140" t="s">
        <v>243</v>
      </c>
    </row>
    <row r="343" spans="1:12" ht="14.5" hidden="1" x14ac:dyDescent="0.35">
      <c r="A343" s="211" t="s">
        <v>248</v>
      </c>
      <c r="B343" s="212" t="s">
        <v>242</v>
      </c>
      <c r="C343" s="212" t="s">
        <v>217</v>
      </c>
      <c r="D343" s="212" t="str">
        <f t="shared" si="10"/>
        <v>AfterSupported Living Plus with accommodationProtea Care Homes</v>
      </c>
      <c r="E343" s="213">
        <v>25.59</v>
      </c>
      <c r="F343" s="141">
        <v>26.36</v>
      </c>
      <c r="G343" s="212" t="str">
        <f t="shared" si="11"/>
        <v>AfterSupported Living Plus with accommodationProtea Care HomesSleep-in</v>
      </c>
      <c r="H343" s="141">
        <v>124.43</v>
      </c>
      <c r="I343" s="141">
        <v>871.01</v>
      </c>
      <c r="J343" s="140" t="s">
        <v>243</v>
      </c>
    </row>
    <row r="344" spans="1:12" ht="14.5" hidden="1" x14ac:dyDescent="0.35">
      <c r="A344" s="211" t="s">
        <v>248</v>
      </c>
      <c r="B344" s="212" t="s">
        <v>242</v>
      </c>
      <c r="C344" s="212" t="s">
        <v>218</v>
      </c>
      <c r="D344" s="212" t="str">
        <f t="shared" si="10"/>
        <v>AfterSupported Living Plus with accommodationQuality Care (EM)</v>
      </c>
      <c r="E344" s="213">
        <v>25.59</v>
      </c>
      <c r="F344" s="141">
        <v>26.36</v>
      </c>
      <c r="G344" s="212" t="str">
        <f t="shared" si="11"/>
        <v>AfterSupported Living Plus with accommodationQuality Care (EM)Sleep-in</v>
      </c>
      <c r="H344" s="141">
        <v>124.43</v>
      </c>
      <c r="I344" s="141">
        <v>871.01</v>
      </c>
      <c r="J344" s="140" t="s">
        <v>243</v>
      </c>
    </row>
    <row r="345" spans="1:12" ht="14.5" hidden="1" x14ac:dyDescent="0.35">
      <c r="A345" s="211" t="s">
        <v>248</v>
      </c>
      <c r="B345" s="212" t="s">
        <v>242</v>
      </c>
      <c r="C345" s="212" t="s">
        <v>77</v>
      </c>
      <c r="D345" s="212" t="str">
        <f t="shared" si="10"/>
        <v>AfterSupported Living Plus with accommodationReach Learning Disability Care (CiC)</v>
      </c>
      <c r="E345" s="213">
        <v>25.59</v>
      </c>
      <c r="F345" s="141">
        <v>26.36</v>
      </c>
      <c r="G345" s="212" t="str">
        <f t="shared" si="11"/>
        <v>AfterSupported Living Plus with accommodationReach Learning Disability Care (CiC)Sleep-in</v>
      </c>
      <c r="H345" s="141">
        <v>124.43</v>
      </c>
      <c r="I345" s="141">
        <v>871.01</v>
      </c>
      <c r="J345" s="140" t="s">
        <v>244</v>
      </c>
    </row>
    <row r="346" spans="1:12" ht="14.5" hidden="1" x14ac:dyDescent="0.35">
      <c r="A346" s="211" t="s">
        <v>248</v>
      </c>
      <c r="B346" s="212" t="s">
        <v>242</v>
      </c>
      <c r="C346" s="212" t="s">
        <v>168</v>
      </c>
      <c r="D346" s="212" t="str">
        <f t="shared" si="10"/>
        <v>AfterSupported Living Plus with accommodationReal Life Options</v>
      </c>
      <c r="E346" s="213">
        <v>25.59</v>
      </c>
      <c r="F346" s="141">
        <v>26.36</v>
      </c>
      <c r="G346" s="212" t="str">
        <f t="shared" si="11"/>
        <v>AfterSupported Living Plus with accommodationReal Life OptionsSleep-in</v>
      </c>
      <c r="H346" s="141">
        <v>124.43</v>
      </c>
      <c r="I346" s="141">
        <v>871.01</v>
      </c>
      <c r="J346" s="140" t="s">
        <v>244</v>
      </c>
    </row>
    <row r="347" spans="1:12" ht="14.5" hidden="1" x14ac:dyDescent="0.35">
      <c r="A347" s="211" t="s">
        <v>248</v>
      </c>
      <c r="B347" s="212" t="s">
        <v>242</v>
      </c>
      <c r="C347" s="212" t="s">
        <v>221</v>
      </c>
      <c r="D347" s="212" t="str">
        <f t="shared" si="10"/>
        <v>AfterSupported Living Plus with accommodationServis Personal Ltd</v>
      </c>
      <c r="E347" s="213">
        <v>25.59</v>
      </c>
      <c r="F347" s="141">
        <v>26.36</v>
      </c>
      <c r="G347" s="212" t="str">
        <f t="shared" si="11"/>
        <v>AfterSupported Living Plus with accommodationServis Personal LtdSleep-in</v>
      </c>
      <c r="H347" s="141">
        <v>124.43</v>
      </c>
      <c r="I347" s="141">
        <v>871.01</v>
      </c>
      <c r="J347" s="140" t="s">
        <v>243</v>
      </c>
    </row>
    <row r="348" spans="1:12" ht="13" hidden="1" customHeight="1" x14ac:dyDescent="0.35">
      <c r="A348" s="211" t="s">
        <v>248</v>
      </c>
      <c r="B348" s="212" t="s">
        <v>242</v>
      </c>
      <c r="C348" s="212" t="s">
        <v>16</v>
      </c>
      <c r="D348" s="212" t="str">
        <f t="shared" si="10"/>
        <v>AfterSupported Living Plus with accommodationThera</v>
      </c>
      <c r="E348" s="213">
        <v>25.59</v>
      </c>
      <c r="F348" s="141">
        <v>26.36</v>
      </c>
      <c r="G348" s="212" t="str">
        <f t="shared" si="11"/>
        <v>AfterSupported Living Plus with accommodationTheraSleep-in</v>
      </c>
      <c r="H348" s="141">
        <v>124.43</v>
      </c>
      <c r="I348" s="141">
        <v>871.01</v>
      </c>
      <c r="J348" s="140" t="s">
        <v>243</v>
      </c>
    </row>
    <row r="349" spans="1:12" ht="14.5" hidden="1" x14ac:dyDescent="0.35">
      <c r="A349" s="211" t="s">
        <v>248</v>
      </c>
      <c r="B349" s="212" t="s">
        <v>242</v>
      </c>
      <c r="C349" s="212" t="s">
        <v>122</v>
      </c>
      <c r="D349" s="212" t="str">
        <f t="shared" si="10"/>
        <v>AfterSupported Living Plus with accommodationTurning Point (CSE)</v>
      </c>
      <c r="E349" s="213">
        <v>25.59</v>
      </c>
      <c r="F349" s="141">
        <v>26.36</v>
      </c>
      <c r="G349" s="212" t="str">
        <f t="shared" si="11"/>
        <v>AfterSupported Living Plus with accommodationTurning Point (CSE)Sleep-in</v>
      </c>
      <c r="H349" s="141">
        <v>124.43</v>
      </c>
      <c r="I349" s="141">
        <v>871.01</v>
      </c>
      <c r="J349" s="140" t="s">
        <v>243</v>
      </c>
    </row>
    <row r="350" spans="1:12" ht="14.5" hidden="1" x14ac:dyDescent="0.35">
      <c r="A350" s="211" t="s">
        <v>248</v>
      </c>
      <c r="B350" s="212" t="s">
        <v>242</v>
      </c>
      <c r="C350" s="212" t="s">
        <v>17</v>
      </c>
      <c r="D350" s="212" t="str">
        <f t="shared" si="10"/>
        <v>AfterSupported Living Plus with accommodationUnited Response</v>
      </c>
      <c r="E350" s="213">
        <v>25.59</v>
      </c>
      <c r="F350" s="141">
        <v>26.36</v>
      </c>
      <c r="G350" s="212" t="str">
        <f t="shared" si="11"/>
        <v>AfterSupported Living Plus with accommodationUnited ResponseSleep-in</v>
      </c>
      <c r="H350" s="141">
        <v>124.43</v>
      </c>
      <c r="I350" s="141">
        <v>871.01</v>
      </c>
      <c r="J350" s="140" t="s">
        <v>243</v>
      </c>
    </row>
    <row r="351" spans="1:12" ht="13" hidden="1" customHeight="1" thickBot="1" x14ac:dyDescent="0.4">
      <c r="A351" s="211" t="s">
        <v>248</v>
      </c>
      <c r="B351" s="212" t="s">
        <v>242</v>
      </c>
      <c r="C351" s="212" t="s">
        <v>18</v>
      </c>
      <c r="D351" s="212" t="str">
        <f t="shared" si="10"/>
        <v>AfterSupported Living Plus with accommodationVoyage</v>
      </c>
      <c r="E351" s="213">
        <v>25.59</v>
      </c>
      <c r="F351" s="141">
        <v>26.36</v>
      </c>
      <c r="G351" s="212" t="str">
        <f t="shared" si="11"/>
        <v>AfterSupported Living Plus with accommodationVoyageSleep-in</v>
      </c>
      <c r="H351" s="141">
        <v>124.43</v>
      </c>
      <c r="I351" s="141">
        <v>871.01</v>
      </c>
      <c r="J351" s="140" t="s">
        <v>243</v>
      </c>
      <c r="L351" s="25">
        <f>SUM(F306:F351)</f>
        <v>1212.5599999999997</v>
      </c>
    </row>
    <row r="352" spans="1:12" ht="14.5" hidden="1" x14ac:dyDescent="0.35">
      <c r="A352" s="205" t="s">
        <v>248</v>
      </c>
      <c r="B352" s="164" t="s">
        <v>245</v>
      </c>
      <c r="C352" s="164" t="s">
        <v>182</v>
      </c>
      <c r="D352" s="164" t="str">
        <f t="shared" si="10"/>
        <v>AfterCommunity NetworkAcclaim Care Agency Ltd</v>
      </c>
      <c r="E352" s="165">
        <v>23.55</v>
      </c>
      <c r="F352" s="174">
        <v>24.26</v>
      </c>
      <c r="G352" s="164" t="str">
        <f t="shared" si="11"/>
        <v>AfterCommunity NetworkAcclaim Care Agency LtdSleep-in</v>
      </c>
      <c r="H352" s="136">
        <v>0</v>
      </c>
      <c r="I352" s="136">
        <v>0</v>
      </c>
      <c r="J352" s="137" t="s">
        <v>231</v>
      </c>
    </row>
    <row r="353" spans="1:10" ht="14.5" hidden="1" customHeight="1" x14ac:dyDescent="0.35">
      <c r="A353" s="206" t="s">
        <v>248</v>
      </c>
      <c r="B353" s="26" t="s">
        <v>245</v>
      </c>
      <c r="C353" s="26" t="s">
        <v>186</v>
      </c>
      <c r="D353" s="26" t="str">
        <f t="shared" si="10"/>
        <v>AfterCommunity NetworkAlpha Health &amp; Social Care Services Ltd</v>
      </c>
      <c r="E353" s="27">
        <v>23.55</v>
      </c>
      <c r="F353" s="141">
        <v>24.26</v>
      </c>
      <c r="G353" s="26" t="str">
        <f t="shared" si="11"/>
        <v>AfterCommunity NetworkAlpha Health &amp; Social Care Services LtdSleep-in</v>
      </c>
      <c r="H353" s="139">
        <v>0</v>
      </c>
      <c r="I353" s="139">
        <v>0</v>
      </c>
      <c r="J353" s="140" t="s">
        <v>231</v>
      </c>
    </row>
    <row r="354" spans="1:10" ht="14.5" hidden="1" x14ac:dyDescent="0.35">
      <c r="A354" s="206" t="s">
        <v>248</v>
      </c>
      <c r="B354" s="26" t="s">
        <v>245</v>
      </c>
      <c r="C354" s="26" t="s">
        <v>187</v>
      </c>
      <c r="D354" s="26" t="str">
        <f t="shared" si="10"/>
        <v>AfterCommunity NetworkAnt and Bex Lodgings Ltd</v>
      </c>
      <c r="E354" s="27">
        <v>23.55</v>
      </c>
      <c r="F354" s="141">
        <v>24.26</v>
      </c>
      <c r="G354" s="26" t="str">
        <f t="shared" si="11"/>
        <v>AfterCommunity NetworkAnt and Bex Lodgings LtdSleep-in</v>
      </c>
      <c r="H354" s="139">
        <v>0</v>
      </c>
      <c r="I354" s="139">
        <v>0</v>
      </c>
      <c r="J354" s="140" t="s">
        <v>231</v>
      </c>
    </row>
    <row r="355" spans="1:10" ht="14.5" hidden="1" x14ac:dyDescent="0.35">
      <c r="A355" s="268" t="s">
        <v>248</v>
      </c>
      <c r="B355" s="269" t="s">
        <v>245</v>
      </c>
      <c r="C355" s="269" t="s">
        <v>332</v>
      </c>
      <c r="D355" s="269" t="str">
        <f t="shared" si="10"/>
        <v>AfterCommunity NetworkAOC Homecare (t/a Angel Oak Care)</v>
      </c>
      <c r="E355" s="270">
        <v>23.55</v>
      </c>
      <c r="F355" s="270">
        <v>24.26</v>
      </c>
      <c r="G355" s="269" t="str">
        <f t="shared" si="11"/>
        <v>AfterCommunity NetworkAOC Homecare (t/a Angel Oak Care)Sleep-in</v>
      </c>
      <c r="H355" s="270">
        <v>0</v>
      </c>
      <c r="I355" s="270">
        <v>0</v>
      </c>
      <c r="J355" s="271" t="s">
        <v>333</v>
      </c>
    </row>
    <row r="356" spans="1:10" ht="14.5" hidden="1" x14ac:dyDescent="0.35">
      <c r="A356" s="206" t="s">
        <v>248</v>
      </c>
      <c r="B356" s="26" t="s">
        <v>245</v>
      </c>
      <c r="C356" s="26" t="s">
        <v>189</v>
      </c>
      <c r="D356" s="26" t="str">
        <f t="shared" si="10"/>
        <v>AfterCommunity NetworkAutism East Midlands</v>
      </c>
      <c r="E356" s="27">
        <v>23.55</v>
      </c>
      <c r="F356" s="141">
        <v>24.26</v>
      </c>
      <c r="G356" s="26" t="str">
        <f t="shared" si="11"/>
        <v>AfterCommunity NetworkAutism East MidlandsSleep-in</v>
      </c>
      <c r="H356" s="139">
        <v>0</v>
      </c>
      <c r="I356" s="139">
        <v>0</v>
      </c>
      <c r="J356" s="140" t="s">
        <v>231</v>
      </c>
    </row>
    <row r="357" spans="1:10" ht="14.5" hidden="1" x14ac:dyDescent="0.35">
      <c r="A357" s="206" t="s">
        <v>248</v>
      </c>
      <c r="B357" s="26" t="s">
        <v>245</v>
      </c>
      <c r="C357" s="26" t="s">
        <v>190</v>
      </c>
      <c r="D357" s="26" t="str">
        <f t="shared" si="10"/>
        <v>AfterCommunity NetworkAxis Recruitment Ltd</v>
      </c>
      <c r="E357" s="27">
        <v>23.55</v>
      </c>
      <c r="F357" s="141">
        <v>24.26</v>
      </c>
      <c r="G357" s="26" t="str">
        <f t="shared" si="11"/>
        <v>AfterCommunity NetworkAxis Recruitment LtdSleep-in</v>
      </c>
      <c r="H357" s="139">
        <v>0</v>
      </c>
      <c r="I357" s="139">
        <v>0</v>
      </c>
      <c r="J357" s="140" t="s">
        <v>231</v>
      </c>
    </row>
    <row r="358" spans="1:10" ht="14.5" hidden="1" x14ac:dyDescent="0.35">
      <c r="A358" s="206" t="s">
        <v>248</v>
      </c>
      <c r="B358" s="26" t="s">
        <v>245</v>
      </c>
      <c r="C358" s="26" t="s">
        <v>191</v>
      </c>
      <c r="D358" s="26" t="str">
        <f t="shared" si="10"/>
        <v>AfterCommunity NetworkBreak Barriers (Nottingham) Ltd</v>
      </c>
      <c r="E358" s="27">
        <v>23.55</v>
      </c>
      <c r="F358" s="141">
        <v>24.26</v>
      </c>
      <c r="G358" s="26" t="str">
        <f t="shared" si="11"/>
        <v>AfterCommunity NetworkBreak Barriers (Nottingham) LtdSleep-in</v>
      </c>
      <c r="H358" s="139">
        <v>0</v>
      </c>
      <c r="I358" s="139">
        <v>0</v>
      </c>
      <c r="J358" s="140" t="s">
        <v>231</v>
      </c>
    </row>
    <row r="359" spans="1:10" ht="14.5" hidden="1" x14ac:dyDescent="0.35">
      <c r="A359" s="206" t="s">
        <v>248</v>
      </c>
      <c r="B359" s="26" t="s">
        <v>245</v>
      </c>
      <c r="C359" s="26" t="s">
        <v>193</v>
      </c>
      <c r="D359" s="26" t="str">
        <f t="shared" si="10"/>
        <v>AfterCommunity NetworkCollective Care &amp; Support Ltd</v>
      </c>
      <c r="E359" s="27">
        <v>23.55</v>
      </c>
      <c r="F359" s="141">
        <v>24.26</v>
      </c>
      <c r="G359" s="26" t="str">
        <f t="shared" si="11"/>
        <v>AfterCommunity NetworkCollective Care &amp; Support LtdSleep-in</v>
      </c>
      <c r="H359" s="139">
        <v>0</v>
      </c>
      <c r="I359" s="139">
        <v>0</v>
      </c>
      <c r="J359" s="140" t="s">
        <v>345</v>
      </c>
    </row>
    <row r="360" spans="1:10" ht="14.5" hidden="1" x14ac:dyDescent="0.35">
      <c r="A360" s="206" t="s">
        <v>248</v>
      </c>
      <c r="B360" s="26" t="s">
        <v>245</v>
      </c>
      <c r="C360" s="26" t="s">
        <v>194</v>
      </c>
      <c r="D360" s="26" t="str">
        <f t="shared" si="10"/>
        <v>AfterCommunity NetworkCollens Healthcare Ltd</v>
      </c>
      <c r="E360" s="27">
        <v>23.55</v>
      </c>
      <c r="F360" s="141">
        <v>24.26</v>
      </c>
      <c r="G360" s="26" t="str">
        <f t="shared" si="11"/>
        <v>AfterCommunity NetworkCollens Healthcare LtdSleep-in</v>
      </c>
      <c r="H360" s="139">
        <v>0</v>
      </c>
      <c r="I360" s="139">
        <v>0</v>
      </c>
      <c r="J360" s="140" t="s">
        <v>231</v>
      </c>
    </row>
    <row r="361" spans="1:10" ht="14.5" hidden="1" x14ac:dyDescent="0.35">
      <c r="A361" s="206" t="s">
        <v>248</v>
      </c>
      <c r="B361" s="26" t="s">
        <v>245</v>
      </c>
      <c r="C361" s="26" t="s">
        <v>195</v>
      </c>
      <c r="D361" s="26" t="str">
        <f t="shared" si="10"/>
        <v>AfterCommunity NetworkCommit2Care Services Ltd</v>
      </c>
      <c r="E361" s="27">
        <v>23.55</v>
      </c>
      <c r="F361" s="141">
        <v>24.26</v>
      </c>
      <c r="G361" s="26" t="str">
        <f t="shared" si="11"/>
        <v>AfterCommunity NetworkCommit2Care Services LtdSleep-in</v>
      </c>
      <c r="H361" s="139">
        <v>0</v>
      </c>
      <c r="I361" s="139">
        <v>0</v>
      </c>
      <c r="J361" s="140" t="s">
        <v>231</v>
      </c>
    </row>
    <row r="362" spans="1:10" ht="14.5" hidden="1" x14ac:dyDescent="0.35">
      <c r="A362" s="206" t="s">
        <v>248</v>
      </c>
      <c r="B362" s="26" t="s">
        <v>245</v>
      </c>
      <c r="C362" s="26" t="s">
        <v>196</v>
      </c>
      <c r="D362" s="26" t="str">
        <f t="shared" si="10"/>
        <v>AfterCommunity NetworkDepax Ltd</v>
      </c>
      <c r="E362" s="27">
        <v>23.55</v>
      </c>
      <c r="F362" s="141">
        <v>24.26</v>
      </c>
      <c r="G362" s="26" t="str">
        <f t="shared" si="11"/>
        <v>AfterCommunity NetworkDepax LtdSleep-in</v>
      </c>
      <c r="H362" s="139">
        <v>0</v>
      </c>
      <c r="I362" s="139">
        <v>0</v>
      </c>
      <c r="J362" s="140" t="s">
        <v>231</v>
      </c>
    </row>
    <row r="363" spans="1:10" ht="14.5" hidden="1" x14ac:dyDescent="0.35">
      <c r="A363" s="206" t="s">
        <v>248</v>
      </c>
      <c r="B363" s="26" t="s">
        <v>245</v>
      </c>
      <c r="C363" s="26" t="s">
        <v>197</v>
      </c>
      <c r="D363" s="26" t="str">
        <f t="shared" si="10"/>
        <v>AfterCommunity NetworkDesla Care Agency Ltd</v>
      </c>
      <c r="E363" s="27">
        <v>23.55</v>
      </c>
      <c r="F363" s="141">
        <v>24.26</v>
      </c>
      <c r="G363" s="26" t="str">
        <f t="shared" si="11"/>
        <v>AfterCommunity NetworkDesla Care Agency LtdSleep-in</v>
      </c>
      <c r="H363" s="139">
        <v>0</v>
      </c>
      <c r="I363" s="139">
        <v>0</v>
      </c>
      <c r="J363" s="140" t="s">
        <v>231</v>
      </c>
    </row>
    <row r="364" spans="1:10" ht="14.5" hidden="1" x14ac:dyDescent="0.35">
      <c r="A364" s="206" t="s">
        <v>248</v>
      </c>
      <c r="B364" s="26" t="s">
        <v>245</v>
      </c>
      <c r="C364" s="26" t="s">
        <v>198</v>
      </c>
      <c r="D364" s="26" t="str">
        <f t="shared" si="10"/>
        <v>AfterCommunity NetworkErrand Plus &amp; Personal Services Business</v>
      </c>
      <c r="E364" s="27">
        <v>23.55</v>
      </c>
      <c r="F364" s="141">
        <v>24.26</v>
      </c>
      <c r="G364" s="26" t="str">
        <f t="shared" si="11"/>
        <v>AfterCommunity NetworkErrand Plus &amp; Personal Services BusinessSleep-in</v>
      </c>
      <c r="H364" s="139">
        <v>0</v>
      </c>
      <c r="I364" s="139">
        <v>0</v>
      </c>
      <c r="J364" s="140" t="s">
        <v>231</v>
      </c>
    </row>
    <row r="365" spans="1:10" ht="14.5" hidden="1" x14ac:dyDescent="0.35">
      <c r="A365" s="263" t="s">
        <v>248</v>
      </c>
      <c r="B365" s="264" t="s">
        <v>245</v>
      </c>
      <c r="C365" s="264" t="s">
        <v>337</v>
      </c>
      <c r="D365" s="264" t="str">
        <f t="shared" si="10"/>
        <v>AfterCommunity NetworkFestygreat Divers Enterprise Ltd(t/a Festygreat Healthcare)</v>
      </c>
      <c r="E365" s="265">
        <v>23.55</v>
      </c>
      <c r="F365" s="265">
        <v>24.26</v>
      </c>
      <c r="G365" s="264" t="str">
        <f t="shared" si="11"/>
        <v>AfterCommunity NetworkFestygreat Divers Enterprise Ltd(t/a Festygreat Healthcare)Sleep-in</v>
      </c>
      <c r="H365" s="265">
        <v>0</v>
      </c>
      <c r="I365" s="265">
        <v>0</v>
      </c>
      <c r="J365" s="272" t="s">
        <v>333</v>
      </c>
    </row>
    <row r="366" spans="1:10" ht="13" hidden="1" x14ac:dyDescent="0.3">
      <c r="A366" s="206" t="s">
        <v>248</v>
      </c>
      <c r="B366" s="26" t="s">
        <v>245</v>
      </c>
      <c r="C366" s="26" t="s">
        <v>12</v>
      </c>
      <c r="D366" s="26" t="str">
        <f t="shared" si="10"/>
        <v>AfterCommunity NetworkFitzroy</v>
      </c>
      <c r="E366" s="166">
        <v>23.55</v>
      </c>
      <c r="F366" s="138">
        <v>24.26</v>
      </c>
      <c r="G366" s="26" t="str">
        <f t="shared" si="11"/>
        <v>AfterCommunity NetworkFitzroySleep-in</v>
      </c>
      <c r="H366" s="139">
        <v>0</v>
      </c>
      <c r="I366" s="139">
        <v>0</v>
      </c>
      <c r="J366" s="140" t="s">
        <v>231</v>
      </c>
    </row>
    <row r="367" spans="1:10" ht="14.5" hidden="1" x14ac:dyDescent="0.35">
      <c r="A367" s="206" t="s">
        <v>248</v>
      </c>
      <c r="B367" s="26" t="s">
        <v>245</v>
      </c>
      <c r="C367" s="26" t="s">
        <v>200</v>
      </c>
      <c r="D367" s="26" t="str">
        <f t="shared" si="10"/>
        <v>AfterCommunity NetworkGemini Exclusive Care</v>
      </c>
      <c r="E367" s="27">
        <v>23.55</v>
      </c>
      <c r="F367" s="141">
        <v>24.26</v>
      </c>
      <c r="G367" s="26" t="str">
        <f t="shared" si="11"/>
        <v>AfterCommunity NetworkGemini Exclusive CareSleep-in</v>
      </c>
      <c r="H367" s="139">
        <v>0</v>
      </c>
      <c r="I367" s="139">
        <v>0</v>
      </c>
      <c r="J367" s="140" t="s">
        <v>231</v>
      </c>
    </row>
    <row r="368" spans="1:10" ht="14.5" hidden="1" x14ac:dyDescent="0.35">
      <c r="A368" s="206" t="s">
        <v>248</v>
      </c>
      <c r="B368" s="26" t="s">
        <v>245</v>
      </c>
      <c r="C368" s="26" t="s">
        <v>203</v>
      </c>
      <c r="D368" s="26" t="str">
        <f t="shared" si="10"/>
        <v>AfterCommunity NetworkGSS Healthcare Ltd</v>
      </c>
      <c r="E368" s="27">
        <v>23.55</v>
      </c>
      <c r="F368" s="141">
        <v>24.26</v>
      </c>
      <c r="G368" s="26" t="str">
        <f t="shared" si="11"/>
        <v>AfterCommunity NetworkGSS Healthcare LtdSleep-in</v>
      </c>
      <c r="H368" s="139">
        <v>0</v>
      </c>
      <c r="I368" s="139">
        <v>0</v>
      </c>
      <c r="J368" s="140" t="s">
        <v>231</v>
      </c>
    </row>
    <row r="369" spans="1:10" ht="14.5" hidden="1" x14ac:dyDescent="0.35">
      <c r="A369" s="206" t="s">
        <v>248</v>
      </c>
      <c r="B369" s="26" t="s">
        <v>245</v>
      </c>
      <c r="C369" s="26" t="s">
        <v>210</v>
      </c>
      <c r="D369" s="26" t="str">
        <f t="shared" si="10"/>
        <v>AfterCommunity NetworkLiving Well Social Care Ltd</v>
      </c>
      <c r="E369" s="27">
        <v>23.55</v>
      </c>
      <c r="F369" s="141">
        <v>24.26</v>
      </c>
      <c r="G369" s="26" t="str">
        <f t="shared" si="11"/>
        <v>AfterCommunity NetworkLiving Well Social Care LtdSleep-in</v>
      </c>
      <c r="H369" s="139">
        <v>0</v>
      </c>
      <c r="I369" s="139">
        <v>0</v>
      </c>
      <c r="J369" s="140" t="s">
        <v>231</v>
      </c>
    </row>
    <row r="370" spans="1:10" ht="13" hidden="1" x14ac:dyDescent="0.3">
      <c r="A370" s="206" t="s">
        <v>248</v>
      </c>
      <c r="B370" s="26" t="s">
        <v>245</v>
      </c>
      <c r="C370" s="26" t="s">
        <v>54</v>
      </c>
      <c r="D370" s="26" t="str">
        <f t="shared" si="10"/>
        <v>AfterCommunity NetworkMencap (Rushcliffe) - Royal Mencap Society</v>
      </c>
      <c r="E370" s="166">
        <v>23.55</v>
      </c>
      <c r="F370" s="138">
        <v>24.26</v>
      </c>
      <c r="G370" s="26" t="str">
        <f t="shared" si="11"/>
        <v>AfterCommunity NetworkMencap (Rushcliffe) - Royal Mencap SocietySleep-in</v>
      </c>
      <c r="H370" s="139">
        <v>0</v>
      </c>
      <c r="I370" s="139">
        <v>0</v>
      </c>
      <c r="J370" s="140" t="s">
        <v>231</v>
      </c>
    </row>
    <row r="371" spans="1:10" ht="13" hidden="1" x14ac:dyDescent="0.3">
      <c r="A371" s="206" t="s">
        <v>248</v>
      </c>
      <c r="B371" s="26" t="s">
        <v>245</v>
      </c>
      <c r="C371" s="26" t="s">
        <v>55</v>
      </c>
      <c r="D371" s="26" t="str">
        <f t="shared" si="10"/>
        <v>AfterCommunity NetworkMencap (Worksop) - Royal Mencap Society</v>
      </c>
      <c r="E371" s="166">
        <v>23.55</v>
      </c>
      <c r="F371" s="138">
        <v>24.26</v>
      </c>
      <c r="G371" s="26" t="str">
        <f t="shared" si="11"/>
        <v>AfterCommunity NetworkMencap (Worksop) - Royal Mencap SocietySleep-in</v>
      </c>
      <c r="H371" s="139">
        <v>0</v>
      </c>
      <c r="I371" s="139">
        <v>0</v>
      </c>
      <c r="J371" s="140" t="s">
        <v>231</v>
      </c>
    </row>
    <row r="372" spans="1:10" ht="13" hidden="1" x14ac:dyDescent="0.3">
      <c r="A372" s="206" t="s">
        <v>248</v>
      </c>
      <c r="B372" s="26" t="s">
        <v>245</v>
      </c>
      <c r="C372" s="26" t="s">
        <v>31</v>
      </c>
      <c r="D372" s="26" t="str">
        <f t="shared" si="10"/>
        <v>AfterCommunity NetworkMencap Ex Partnership Home</v>
      </c>
      <c r="E372" s="166">
        <v>23.55</v>
      </c>
      <c r="F372" s="138">
        <v>24.26</v>
      </c>
      <c r="G372" s="26" t="str">
        <f t="shared" si="11"/>
        <v>AfterCommunity NetworkMencap Ex Partnership HomeSleep-in</v>
      </c>
      <c r="H372" s="139">
        <v>0</v>
      </c>
      <c r="I372" s="139">
        <v>0</v>
      </c>
      <c r="J372" s="140" t="s">
        <v>231</v>
      </c>
    </row>
    <row r="373" spans="1:10" ht="14.5" hidden="1" x14ac:dyDescent="0.35">
      <c r="A373" s="206" t="s">
        <v>248</v>
      </c>
      <c r="B373" s="26" t="s">
        <v>245</v>
      </c>
      <c r="C373" s="26" t="s">
        <v>213</v>
      </c>
      <c r="D373" s="26" t="str">
        <f t="shared" si="10"/>
        <v>AfterCommunity NetworkMidco Care Ltd</v>
      </c>
      <c r="E373" s="27">
        <v>23.55</v>
      </c>
      <c r="F373" s="141">
        <v>24.26</v>
      </c>
      <c r="G373" s="26" t="str">
        <f t="shared" si="11"/>
        <v>AfterCommunity NetworkMidco Care LtdSleep-in</v>
      </c>
      <c r="H373" s="139">
        <v>0</v>
      </c>
      <c r="I373" s="139">
        <v>0</v>
      </c>
      <c r="J373" s="140" t="s">
        <v>231</v>
      </c>
    </row>
    <row r="374" spans="1:10" ht="14.5" hidden="1" x14ac:dyDescent="0.35">
      <c r="A374" s="206" t="s">
        <v>248</v>
      </c>
      <c r="B374" s="26" t="s">
        <v>245</v>
      </c>
      <c r="C374" s="26" t="s">
        <v>339</v>
      </c>
      <c r="D374" s="26" t="str">
        <f t="shared" si="10"/>
        <v>AfterCommunity NetworkMyHomecareNottingham</v>
      </c>
      <c r="E374" s="27">
        <v>23.55</v>
      </c>
      <c r="F374" s="141">
        <v>24.26</v>
      </c>
      <c r="G374" s="26" t="str">
        <f t="shared" si="11"/>
        <v>AfterCommunity NetworkMyHomecareNottinghamSleep-in</v>
      </c>
      <c r="H374" s="139">
        <v>0</v>
      </c>
      <c r="I374" s="139">
        <v>0</v>
      </c>
      <c r="J374" s="140" t="s">
        <v>231</v>
      </c>
    </row>
    <row r="375" spans="1:10" ht="14.5" hidden="1" x14ac:dyDescent="0.35">
      <c r="A375" s="206" t="s">
        <v>248</v>
      </c>
      <c r="B375" s="26" t="s">
        <v>245</v>
      </c>
      <c r="C375" s="26" t="s">
        <v>214</v>
      </c>
      <c r="D375" s="26" t="str">
        <f t="shared" si="10"/>
        <v>AfterCommunity NetworkNardus Healthcare</v>
      </c>
      <c r="E375" s="27">
        <v>23.55</v>
      </c>
      <c r="F375" s="141">
        <v>24.26</v>
      </c>
      <c r="G375" s="26" t="str">
        <f t="shared" si="11"/>
        <v>AfterCommunity NetworkNardus HealthcareSleep-in</v>
      </c>
      <c r="H375" s="139">
        <v>0</v>
      </c>
      <c r="I375" s="139">
        <v>0</v>
      </c>
      <c r="J375" s="140" t="s">
        <v>231</v>
      </c>
    </row>
    <row r="376" spans="1:10" ht="14.5" hidden="1" x14ac:dyDescent="0.35">
      <c r="A376" s="206" t="s">
        <v>248</v>
      </c>
      <c r="B376" s="26" t="s">
        <v>245</v>
      </c>
      <c r="C376" s="26" t="s">
        <v>15</v>
      </c>
      <c r="D376" s="26" t="str">
        <f t="shared" si="10"/>
        <v>AfterCommunity NetworkNCHA</v>
      </c>
      <c r="E376" s="27">
        <v>23.55</v>
      </c>
      <c r="F376" s="141">
        <v>24.26</v>
      </c>
      <c r="G376" s="26" t="str">
        <f t="shared" si="11"/>
        <v>AfterCommunity NetworkNCHASleep-in</v>
      </c>
      <c r="H376" s="139">
        <v>0</v>
      </c>
      <c r="I376" s="139">
        <v>0</v>
      </c>
      <c r="J376" s="140" t="s">
        <v>231</v>
      </c>
    </row>
    <row r="377" spans="1:10" ht="14.5" hidden="1" x14ac:dyDescent="0.35">
      <c r="A377" s="206" t="s">
        <v>248</v>
      </c>
      <c r="B377" s="26" t="s">
        <v>245</v>
      </c>
      <c r="C377" s="26" t="s">
        <v>346</v>
      </c>
      <c r="D377" s="26" t="str">
        <f t="shared" si="10"/>
        <v xml:space="preserve">AfterCommunity NetworkNottingham Autism Support Service </v>
      </c>
      <c r="E377" s="27">
        <v>23.55</v>
      </c>
      <c r="F377" s="141">
        <v>24.26</v>
      </c>
      <c r="G377" s="26" t="str">
        <f t="shared" si="11"/>
        <v>AfterCommunity NetworkNottingham Autism Support Service Sleep-in</v>
      </c>
      <c r="H377" s="139">
        <v>0</v>
      </c>
      <c r="I377" s="139">
        <v>0</v>
      </c>
      <c r="J377" s="140" t="s">
        <v>231</v>
      </c>
    </row>
    <row r="378" spans="1:10" ht="14.5" hidden="1" x14ac:dyDescent="0.35">
      <c r="A378" s="206" t="s">
        <v>248</v>
      </c>
      <c r="B378" s="26" t="s">
        <v>245</v>
      </c>
      <c r="C378" s="26" t="s">
        <v>227</v>
      </c>
      <c r="D378" s="26" t="str">
        <f t="shared" si="10"/>
        <v>AfterCommunity NetworkPerthyn</v>
      </c>
      <c r="E378" s="27">
        <v>23.55</v>
      </c>
      <c r="F378" s="141">
        <v>24.26</v>
      </c>
      <c r="G378" s="26" t="str">
        <f t="shared" si="11"/>
        <v>AfterCommunity NetworkPerthynSleep-in</v>
      </c>
      <c r="H378" s="139">
        <v>0</v>
      </c>
      <c r="I378" s="139">
        <v>0</v>
      </c>
      <c r="J378" s="140" t="s">
        <v>231</v>
      </c>
    </row>
    <row r="379" spans="1:10" ht="14.5" hidden="1" x14ac:dyDescent="0.35">
      <c r="A379" s="206" t="s">
        <v>248</v>
      </c>
      <c r="B379" s="26" t="s">
        <v>245</v>
      </c>
      <c r="C379" s="26" t="s">
        <v>217</v>
      </c>
      <c r="D379" s="26" t="str">
        <f t="shared" si="10"/>
        <v>AfterCommunity NetworkProtea Care Homes</v>
      </c>
      <c r="E379" s="27">
        <v>23.55</v>
      </c>
      <c r="F379" s="141">
        <v>24.26</v>
      </c>
      <c r="G379" s="26" t="str">
        <f t="shared" si="11"/>
        <v>AfterCommunity NetworkProtea Care HomesSleep-in</v>
      </c>
      <c r="H379" s="139">
        <v>0</v>
      </c>
      <c r="I379" s="139">
        <v>0</v>
      </c>
      <c r="J379" s="140" t="s">
        <v>231</v>
      </c>
    </row>
    <row r="380" spans="1:10" ht="14.5" hidden="1" x14ac:dyDescent="0.35">
      <c r="A380" s="206" t="s">
        <v>248</v>
      </c>
      <c r="B380" s="26" t="s">
        <v>245</v>
      </c>
      <c r="C380" s="26" t="s">
        <v>77</v>
      </c>
      <c r="D380" s="26" t="str">
        <f t="shared" si="10"/>
        <v>AfterCommunity NetworkReach Learning Disability Care (CiC)</v>
      </c>
      <c r="E380" s="27">
        <v>23.55</v>
      </c>
      <c r="F380" s="141">
        <v>24.26</v>
      </c>
      <c r="G380" s="26" t="str">
        <f t="shared" si="11"/>
        <v>AfterCommunity NetworkReach Learning Disability Care (CiC)Sleep-in</v>
      </c>
      <c r="H380" s="139">
        <v>0</v>
      </c>
      <c r="I380" s="139">
        <v>0</v>
      </c>
      <c r="J380" s="140" t="s">
        <v>231</v>
      </c>
    </row>
    <row r="381" spans="1:10" ht="13" hidden="1" x14ac:dyDescent="0.3">
      <c r="A381" s="206" t="s">
        <v>248</v>
      </c>
      <c r="B381" s="26" t="s">
        <v>245</v>
      </c>
      <c r="C381" s="26" t="s">
        <v>221</v>
      </c>
      <c r="D381" s="26" t="str">
        <f t="shared" si="10"/>
        <v>AfterCommunity NetworkServis Personal Ltd</v>
      </c>
      <c r="E381" s="166">
        <v>23.55</v>
      </c>
      <c r="F381" s="138">
        <v>24.26</v>
      </c>
      <c r="G381" s="26" t="str">
        <f t="shared" si="11"/>
        <v>AfterCommunity NetworkServis Personal LtdSleep-in</v>
      </c>
      <c r="H381" s="139">
        <v>0</v>
      </c>
      <c r="I381" s="139">
        <v>0</v>
      </c>
      <c r="J381" s="140" t="s">
        <v>231</v>
      </c>
    </row>
    <row r="382" spans="1:10" ht="14.5" hidden="1" x14ac:dyDescent="0.35">
      <c r="A382" s="206" t="s">
        <v>248</v>
      </c>
      <c r="B382" s="26" t="s">
        <v>245</v>
      </c>
      <c r="C382" s="26" t="s">
        <v>119</v>
      </c>
      <c r="D382" s="26" t="str">
        <f t="shared" si="10"/>
        <v>AfterCommunity NetworkSpace Inclusive</v>
      </c>
      <c r="E382" s="27">
        <v>23.55</v>
      </c>
      <c r="F382" s="141">
        <v>24.26</v>
      </c>
      <c r="G382" s="26" t="str">
        <f t="shared" si="11"/>
        <v>AfterCommunity NetworkSpace InclusiveSleep-in</v>
      </c>
      <c r="H382" s="139">
        <v>0</v>
      </c>
      <c r="I382" s="139">
        <v>0</v>
      </c>
      <c r="J382" s="140" t="s">
        <v>231</v>
      </c>
    </row>
    <row r="383" spans="1:10" ht="14.5" hidden="1" x14ac:dyDescent="0.35">
      <c r="A383" s="206" t="s">
        <v>248</v>
      </c>
      <c r="B383" s="26" t="s">
        <v>245</v>
      </c>
      <c r="C383" s="26" t="s">
        <v>222</v>
      </c>
      <c r="D383" s="26" t="str">
        <f t="shared" si="10"/>
        <v>AfterCommunity NetworkThe Silver Ark Healthcare Ltd</v>
      </c>
      <c r="E383" s="27">
        <v>23.55</v>
      </c>
      <c r="F383" s="141">
        <v>24.26</v>
      </c>
      <c r="G383" s="26" t="str">
        <f t="shared" si="11"/>
        <v>AfterCommunity NetworkThe Silver Ark Healthcare LtdSleep-in</v>
      </c>
      <c r="H383" s="139">
        <v>0</v>
      </c>
      <c r="I383" s="139">
        <v>0</v>
      </c>
      <c r="J383" s="140" t="s">
        <v>231</v>
      </c>
    </row>
    <row r="384" spans="1:10" ht="13" hidden="1" x14ac:dyDescent="0.3">
      <c r="A384" s="206" t="s">
        <v>248</v>
      </c>
      <c r="B384" s="26" t="s">
        <v>245</v>
      </c>
      <c r="C384" s="26" t="s">
        <v>232</v>
      </c>
      <c r="D384" s="26" t="str">
        <f t="shared" si="10"/>
        <v>AfterCommunity NetworkTurning Point</v>
      </c>
      <c r="E384" s="166">
        <v>23.55</v>
      </c>
      <c r="F384" s="138">
        <v>24.26</v>
      </c>
      <c r="G384" s="26" t="str">
        <f t="shared" si="11"/>
        <v>AfterCommunity NetworkTurning PointSleep-in</v>
      </c>
      <c r="H384" s="139">
        <v>0</v>
      </c>
      <c r="I384" s="139">
        <v>0</v>
      </c>
      <c r="J384" s="140" t="s">
        <v>231</v>
      </c>
    </row>
    <row r="385" spans="1:10" ht="14.5" hidden="1" x14ac:dyDescent="0.35">
      <c r="A385" s="206" t="s">
        <v>248</v>
      </c>
      <c r="B385" s="26" t="s">
        <v>245</v>
      </c>
      <c r="C385" s="26" t="s">
        <v>17</v>
      </c>
      <c r="D385" s="26" t="str">
        <f t="shared" si="10"/>
        <v>AfterCommunity NetworkUnited Response</v>
      </c>
      <c r="E385" s="27">
        <v>23.55</v>
      </c>
      <c r="F385" s="141">
        <v>24.26</v>
      </c>
      <c r="G385" s="26" t="str">
        <f t="shared" si="11"/>
        <v>AfterCommunity NetworkUnited ResponseSleep-in</v>
      </c>
      <c r="H385" s="139">
        <v>0</v>
      </c>
      <c r="I385" s="139">
        <v>0</v>
      </c>
      <c r="J385" s="140" t="s">
        <v>231</v>
      </c>
    </row>
    <row r="386" spans="1:10" ht="15" hidden="1" thickBot="1" x14ac:dyDescent="0.4">
      <c r="A386" s="216" t="s">
        <v>248</v>
      </c>
      <c r="B386" s="188" t="s">
        <v>245</v>
      </c>
      <c r="C386" s="188" t="s">
        <v>224</v>
      </c>
      <c r="D386" s="188" t="str">
        <f t="shared" si="10"/>
        <v>AfterCommunity NetworkWarwickshire Living Ltd</v>
      </c>
      <c r="E386" s="189">
        <v>23.55</v>
      </c>
      <c r="F386" s="157">
        <v>24.26</v>
      </c>
      <c r="G386" s="188" t="str">
        <f t="shared" si="11"/>
        <v>AfterCommunity NetworkWarwickshire Living LtdSleep-in</v>
      </c>
      <c r="H386" s="144">
        <v>0</v>
      </c>
      <c r="I386" s="144">
        <v>0</v>
      </c>
      <c r="J386" s="145" t="s">
        <v>231</v>
      </c>
    </row>
  </sheetData>
  <autoFilter ref="A2:K386" xr:uid="{58657766-57CE-4EDD-AF17-E04F48FD6B24}">
    <filterColumn colId="2">
      <filters>
        <filter val="CIC"/>
      </filters>
    </filterColumn>
  </autoFilter>
  <sortState xmlns:xlrd2="http://schemas.microsoft.com/office/spreadsheetml/2017/richdata2" ref="A306:K351">
    <sortCondition ref="C306:C351"/>
  </sortState>
  <mergeCells count="1">
    <mergeCell ref="A1:J1"/>
  </mergeCells>
  <pageMargins left="0.7" right="0.7" top="0.75" bottom="0.75" header="0.3" footer="0.3"/>
  <pageSetup paperSize="9"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C02A-49AA-4900-8C32-0CFE195109B1}">
  <sheetPr codeName="Sheet4"/>
  <dimension ref="A1:AC14"/>
  <sheetViews>
    <sheetView topLeftCell="S2" workbookViewId="0">
      <selection activeCell="X12" sqref="X12"/>
    </sheetView>
  </sheetViews>
  <sheetFormatPr defaultRowHeight="12.5" x14ac:dyDescent="0.25"/>
  <cols>
    <col min="9" max="9" width="29.54296875" customWidth="1"/>
    <col min="11" max="11" width="12" customWidth="1"/>
    <col min="12" max="12" width="11.54296875" customWidth="1"/>
    <col min="15" max="16" width="18.81640625" customWidth="1"/>
    <col min="17" max="18" width="25" customWidth="1"/>
    <col min="19" max="19" width="38.1796875" customWidth="1"/>
    <col min="20" max="20" width="25" customWidth="1"/>
    <col min="21" max="21" width="9" customWidth="1"/>
    <col min="22" max="23" width="27.54296875" customWidth="1"/>
    <col min="24" max="24" width="10.7265625" customWidth="1"/>
    <col min="26" max="28" width="19.81640625" customWidth="1"/>
    <col min="29" max="29" width="45.81640625" bestFit="1" customWidth="1"/>
    <col min="30" max="30" width="18.1796875" bestFit="1" customWidth="1"/>
    <col min="31" max="31" width="24.1796875" bestFit="1" customWidth="1"/>
    <col min="32" max="32" width="49.54296875" customWidth="1"/>
    <col min="33" max="33" width="37" customWidth="1"/>
  </cols>
  <sheetData>
    <row r="1" spans="1:29" ht="14" x14ac:dyDescent="0.3">
      <c r="K1" s="361" t="s">
        <v>154</v>
      </c>
      <c r="L1" s="361"/>
      <c r="M1" s="361"/>
      <c r="O1" s="362" t="s">
        <v>27</v>
      </c>
      <c r="P1" s="363"/>
      <c r="Q1" s="363"/>
      <c r="R1" s="363"/>
      <c r="S1" s="363"/>
      <c r="T1" s="363"/>
      <c r="V1" s="1" t="s">
        <v>233</v>
      </c>
      <c r="W1" s="1"/>
      <c r="X1" s="1"/>
      <c r="Z1" s="361" t="s">
        <v>292</v>
      </c>
      <c r="AA1" s="361"/>
      <c r="AC1" t="s">
        <v>112</v>
      </c>
    </row>
    <row r="2" spans="1:29" ht="100" customHeight="1" x14ac:dyDescent="0.25">
      <c r="A2" s="19" t="s">
        <v>301</v>
      </c>
      <c r="C2" s="364" t="s">
        <v>306</v>
      </c>
      <c r="D2" s="364"/>
      <c r="F2" s="4" t="s">
        <v>26</v>
      </c>
      <c r="G2" s="4" t="s">
        <v>159</v>
      </c>
      <c r="H2" s="127" t="s">
        <v>137</v>
      </c>
      <c r="I2" s="18" t="s">
        <v>24</v>
      </c>
      <c r="K2" s="167">
        <v>1</v>
      </c>
      <c r="L2" s="167">
        <v>42834</v>
      </c>
      <c r="M2" s="1" t="s">
        <v>155</v>
      </c>
      <c r="O2" s="5" t="s">
        <v>155</v>
      </c>
      <c r="P2" s="168" t="s">
        <v>157</v>
      </c>
      <c r="Q2" s="168" t="s">
        <v>156</v>
      </c>
      <c r="R2" s="168" t="s">
        <v>157</v>
      </c>
      <c r="S2" s="5" t="s">
        <v>247</v>
      </c>
      <c r="T2" s="168" t="s">
        <v>157</v>
      </c>
      <c r="V2" s="29" t="s">
        <v>90</v>
      </c>
      <c r="W2" s="29" t="s">
        <v>262</v>
      </c>
      <c r="X2" s="29" t="s">
        <v>376</v>
      </c>
      <c r="Z2" s="127" t="s">
        <v>5</v>
      </c>
      <c r="AA2" s="251" t="s">
        <v>321</v>
      </c>
      <c r="AC2" t="s">
        <v>125</v>
      </c>
    </row>
    <row r="3" spans="1:29" ht="14.5" x14ac:dyDescent="0.35">
      <c r="A3" s="1" t="s">
        <v>302</v>
      </c>
      <c r="C3" s="226" t="s">
        <v>307</v>
      </c>
      <c r="D3" s="226" t="s">
        <v>308</v>
      </c>
      <c r="F3" s="3" t="s">
        <v>5</v>
      </c>
      <c r="G3" s="3" t="s">
        <v>6</v>
      </c>
      <c r="H3" s="1" t="s">
        <v>146</v>
      </c>
      <c r="I3" s="1" t="s">
        <v>311</v>
      </c>
      <c r="K3" s="167">
        <v>42835</v>
      </c>
      <c r="L3" s="167">
        <v>45903</v>
      </c>
      <c r="M3" s="1" t="s">
        <v>156</v>
      </c>
      <c r="O3" s="1" t="s">
        <v>8</v>
      </c>
      <c r="P3" s="192" t="s">
        <v>322</v>
      </c>
      <c r="Q3" s="21" t="s">
        <v>8</v>
      </c>
      <c r="R3" s="192" t="s">
        <v>323</v>
      </c>
      <c r="S3" s="1" t="s">
        <v>245</v>
      </c>
      <c r="T3" s="226" t="s">
        <v>86</v>
      </c>
      <c r="V3" t="s">
        <v>235</v>
      </c>
      <c r="W3" t="s">
        <v>263</v>
      </c>
      <c r="X3" t="s">
        <v>377</v>
      </c>
      <c r="Z3" s="1" t="s">
        <v>6</v>
      </c>
      <c r="AA3" s="226" t="s">
        <v>320</v>
      </c>
      <c r="AC3" t="s">
        <v>123</v>
      </c>
    </row>
    <row r="4" spans="1:29" x14ac:dyDescent="0.25">
      <c r="A4" s="1" t="s">
        <v>303</v>
      </c>
      <c r="C4" s="226" t="s">
        <v>309</v>
      </c>
      <c r="D4" s="226" t="s">
        <v>310</v>
      </c>
      <c r="F4" s="3" t="s">
        <v>6</v>
      </c>
      <c r="G4" s="3" t="s">
        <v>5</v>
      </c>
      <c r="H4" s="1" t="s">
        <v>147</v>
      </c>
      <c r="I4" s="1" t="s">
        <v>312</v>
      </c>
      <c r="K4" s="167">
        <v>45904</v>
      </c>
      <c r="L4" s="167">
        <v>2958435</v>
      </c>
      <c r="M4" s="1" t="s">
        <v>248</v>
      </c>
      <c r="O4" s="1" t="s">
        <v>7</v>
      </c>
      <c r="P4" s="192" t="s">
        <v>254</v>
      </c>
      <c r="Q4" t="s">
        <v>249</v>
      </c>
      <c r="R4" s="192" t="s">
        <v>324</v>
      </c>
      <c r="S4" s="1" t="s">
        <v>349</v>
      </c>
      <c r="T4" s="226" t="s">
        <v>348</v>
      </c>
      <c r="V4" t="s">
        <v>236</v>
      </c>
      <c r="W4" t="s">
        <v>264</v>
      </c>
      <c r="X4" t="s">
        <v>378</v>
      </c>
      <c r="AC4" t="s">
        <v>124</v>
      </c>
    </row>
    <row r="5" spans="1:29" x14ac:dyDescent="0.25">
      <c r="I5" s="1" t="s">
        <v>313</v>
      </c>
      <c r="O5" s="1" t="s">
        <v>19</v>
      </c>
      <c r="P5" s="192" t="s">
        <v>279</v>
      </c>
      <c r="Q5" s="21" t="s">
        <v>7</v>
      </c>
      <c r="R5" s="192" t="s">
        <v>325</v>
      </c>
      <c r="S5" s="1" t="s">
        <v>275</v>
      </c>
      <c r="T5" s="226" t="s">
        <v>283</v>
      </c>
      <c r="V5" t="s">
        <v>237</v>
      </c>
      <c r="W5" t="s">
        <v>286</v>
      </c>
      <c r="X5" t="s">
        <v>378</v>
      </c>
    </row>
    <row r="6" spans="1:29" x14ac:dyDescent="0.25">
      <c r="I6" s="1" t="s">
        <v>314</v>
      </c>
      <c r="Q6" s="21" t="s">
        <v>19</v>
      </c>
      <c r="R6" s="192" t="s">
        <v>326</v>
      </c>
      <c r="S6" s="1" t="s">
        <v>273</v>
      </c>
      <c r="T6" s="226" t="s">
        <v>284</v>
      </c>
      <c r="V6" t="s">
        <v>255</v>
      </c>
      <c r="W6" t="s">
        <v>265</v>
      </c>
      <c r="X6" t="s">
        <v>377</v>
      </c>
    </row>
    <row r="7" spans="1:29" ht="30.5" x14ac:dyDescent="0.25">
      <c r="I7" s="1" t="s">
        <v>315</v>
      </c>
      <c r="K7" s="227" t="s">
        <v>261</v>
      </c>
      <c r="L7" s="167">
        <v>45754</v>
      </c>
      <c r="S7" s="1" t="s">
        <v>274</v>
      </c>
      <c r="T7" s="226" t="s">
        <v>285</v>
      </c>
      <c r="V7" s="228" t="s">
        <v>256</v>
      </c>
      <c r="W7" t="s">
        <v>266</v>
      </c>
      <c r="X7" t="s">
        <v>377</v>
      </c>
    </row>
    <row r="8" spans="1:29" x14ac:dyDescent="0.25">
      <c r="I8" s="1" t="s">
        <v>316</v>
      </c>
      <c r="V8" t="s">
        <v>287</v>
      </c>
      <c r="W8" t="s">
        <v>267</v>
      </c>
      <c r="X8" t="s">
        <v>378</v>
      </c>
    </row>
    <row r="9" spans="1:29" x14ac:dyDescent="0.25">
      <c r="I9" s="1" t="s">
        <v>317</v>
      </c>
      <c r="V9" t="s">
        <v>257</v>
      </c>
      <c r="W9" t="s">
        <v>288</v>
      </c>
      <c r="X9" t="s">
        <v>378</v>
      </c>
    </row>
    <row r="10" spans="1:29" x14ac:dyDescent="0.25">
      <c r="I10" s="1" t="s">
        <v>318</v>
      </c>
      <c r="V10" t="s">
        <v>258</v>
      </c>
      <c r="W10" t="s">
        <v>268</v>
      </c>
      <c r="X10" t="s">
        <v>377</v>
      </c>
    </row>
    <row r="11" spans="1:29" x14ac:dyDescent="0.25">
      <c r="I11" s="1" t="s">
        <v>76</v>
      </c>
      <c r="T11">
        <f>LEN(T6)</f>
        <v>249</v>
      </c>
      <c r="V11" t="s">
        <v>350</v>
      </c>
      <c r="W11" t="s">
        <v>269</v>
      </c>
      <c r="X11" t="s">
        <v>378</v>
      </c>
      <c r="AC11" t="b">
        <f>V11=Z11</f>
        <v>0</v>
      </c>
    </row>
    <row r="12" spans="1:29" x14ac:dyDescent="0.25">
      <c r="I12" s="1" t="s">
        <v>319</v>
      </c>
      <c r="V12" t="s">
        <v>272</v>
      </c>
      <c r="W12" t="s">
        <v>276</v>
      </c>
      <c r="X12" t="s">
        <v>378</v>
      </c>
    </row>
    <row r="13" spans="1:29" x14ac:dyDescent="0.25">
      <c r="I13" s="23"/>
      <c r="V13" t="s">
        <v>277</v>
      </c>
      <c r="W13" t="s">
        <v>270</v>
      </c>
      <c r="X13" t="s">
        <v>378</v>
      </c>
    </row>
    <row r="14" spans="1:29" x14ac:dyDescent="0.25">
      <c r="V14" t="s">
        <v>278</v>
      </c>
      <c r="W14" t="s">
        <v>271</v>
      </c>
      <c r="X14" t="s">
        <v>378</v>
      </c>
    </row>
  </sheetData>
  <sortState xmlns:xlrd2="http://schemas.microsoft.com/office/spreadsheetml/2017/richdata2" ref="S4:S9">
    <sortCondition ref="S4:S9"/>
  </sortState>
  <mergeCells count="4">
    <mergeCell ref="K1:M1"/>
    <mergeCell ref="O1:T1"/>
    <mergeCell ref="Z1:AA1"/>
    <mergeCell ref="C2:D2"/>
  </mergeCells>
  <phoneticPr fontId="20" type="noConversion"/>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sponsibleTeam xmlns="7f7c714c-a929-4ba2-820d-d24d9401169e">
      <UserInfo>
        <DisplayName>Giles Blower</DisplayName>
        <AccountId>737</AccountId>
        <AccountType/>
      </UserInfo>
    </ResponsibleTeam>
    <Daterevised xmlns="7f7c714c-a929-4ba2-820d-d24d9401169e">2026-03-31T23:00:00+00:00</Daterevised>
    <VersionNo_x002e_ xmlns="7f7c714c-a929-4ba2-820d-d24d9401169e">V17</VersionNo_x002e_>
    <Status xmlns="7f7c714c-a929-4ba2-820d-d24d9401169e">Current</Status>
    <Comment xmlns="7f7c714c-a929-4ba2-820d-d24d9401169e" xsi:nil="true"/>
    <DateTest xmlns="7f7c714c-a929-4ba2-820d-d24d9401169e" xsi:nil="true"/>
    <TaxCatchAll xmlns="88cc1ac3-d661-4513-9676-173c55b04fe2" xsi:nil="true"/>
    <lcf76f155ced4ddcb4097134ff3c332f xmlns="7f7c714c-a929-4ba2-820d-d24d9401169e">
      <Terms xmlns="http://schemas.microsoft.com/office/infopath/2007/PartnerControls"/>
    </lcf76f155ced4ddcb4097134ff3c332f>
    <DocumentType xmlns="7f7c714c-a929-4ba2-820d-d24d9401169e">Form</DocumentType>
    <Futurereviewdate xmlns="7f7c714c-a929-4ba2-820d-d24d9401169e">2027-03-31T23:00:00+00:00</Futurereviewdate>
    <Originaldate xmlns="7f7c714c-a929-4ba2-820d-d24d9401169e">2016-04-30T23:00:00+00:00</Originaldate>
    <Library xmlns="7f7c714c-a929-4ba2-820d-d24d9401169e">Forms and Letters</Library>
    <Responsibleteam0 xmlns="7f7c714c-a929-4ba2-820d-d24d9401169e">Integrated Strategic Commissioning</Responsibleteam0>
    <https_x003a__x002f__x002f_www_x002e_nottinghamshire_x002e_gov_x002e_uk_x002f_care_x002f_adult_x002d_social_x002d_care_x002f_social_x002d_care_x002d_publications_x002f_24_x002d_hour_x002d_emergency_x002d_home_x002d_care_x002d_response_x002d_service xmlns="7f7c714c-a929-4ba2-820d-d24d9401169e">
      <Url xsi:nil="true"/>
      <Description xsi:nil="true"/>
    </https_x003a__x002f__x002f_www_x002e_nottinghamshire_x002e_gov_x002e_uk_x002f_care_x002f_adult_x002d_social_x002d_care_x002f_social_x002d_care_x002d_publications_x002f_24_x002d_hour_x002d_emergency_x002d_home_x002d_care_x002d_response_x002d_service>
    <TextTest xmlns="7f7c714c-a929-4ba2-820d-d24d9401169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882D285008B449534F1CC8720F8A5" ma:contentTypeVersion="31" ma:contentTypeDescription="Create a new document." ma:contentTypeScope="" ma:versionID="ace9e0d85e440b8216ee17f1a277516b">
  <xsd:schema xmlns:xsd="http://www.w3.org/2001/XMLSchema" xmlns:xs="http://www.w3.org/2001/XMLSchema" xmlns:p="http://schemas.microsoft.com/office/2006/metadata/properties" xmlns:ns2="7f7c714c-a929-4ba2-820d-d24d9401169e" xmlns:ns3="9e8feb4a-2e94-44b3-a528-01d62593f1ac" xmlns:ns4="88cc1ac3-d661-4513-9676-173c55b04fe2" targetNamespace="http://schemas.microsoft.com/office/2006/metadata/properties" ma:root="true" ma:fieldsID="29c2fafe24c086b096e4b5bbcaed63a6" ns2:_="" ns3:_="" ns4:_="">
    <xsd:import namespace="7f7c714c-a929-4ba2-820d-d24d9401169e"/>
    <xsd:import namespace="9e8feb4a-2e94-44b3-a528-01d62593f1ac"/>
    <xsd:import namespace="88cc1ac3-d661-4513-9676-173c55b04f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DocumentType"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Location" minOccurs="0"/>
                <xsd:element ref="ns2:Status" minOccurs="0"/>
                <xsd:element ref="ns2:MediaServiceSearchProperties" minOccurs="0"/>
                <xsd:element ref="ns2:VersionNo_x002e_" minOccurs="0"/>
                <xsd:element ref="ns2:ResponsibleTeam" minOccurs="0"/>
                <xsd:element ref="ns2:Originaldate" minOccurs="0"/>
                <xsd:element ref="ns2:Daterevised" minOccurs="0"/>
                <xsd:element ref="ns2:Library" minOccurs="0"/>
                <xsd:element ref="ns2:Responsibleteam0" minOccurs="0"/>
                <xsd:element ref="ns2:Comment" minOccurs="0"/>
                <xsd:element ref="ns2:Futurereviewdate" minOccurs="0"/>
                <xsd:element ref="ns2:DateTest" minOccurs="0"/>
                <xsd:element ref="ns2:TextTest" minOccurs="0"/>
                <xsd:element ref="ns2:https_x003a__x002f__x002f_www_x002e_nottinghamshire_x002e_gov_x002e_uk_x002f_care_x002f_adult_x002d_social_x002d_care_x002f_social_x002d_care_x002d_publications_x002f_24_x002d_hour_x002d_emergency_x002d_home_x002d_care_x002d_response_x002d_servic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7c714c-a929-4ba2-820d-d24d940116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DocumentType" ma:index="18" nillable="true" ma:displayName="Document Type" ma:format="Dropdown" ma:internalName="DocumentType">
      <xsd:simpleType>
        <xsd:restriction base="dms:Text">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2976cec-d0ce-485f-bc4a-34973482e79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Status" ma:index="26" nillable="true" ma:displayName="Status" ma:indexed="true" ma:internalName="Status">
      <xsd:simpleType>
        <xsd:restriction base="dms:Text">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VersionNo_x002e_" ma:index="28" nillable="true" ma:displayName="Version No." ma:description="Document version number to be recorded " ma:format="Dropdown" ma:internalName="VersionNo_x002e_">
      <xsd:simpleType>
        <xsd:restriction base="dms:Text">
          <xsd:maxLength value="255"/>
        </xsd:restriction>
      </xsd:simpleType>
    </xsd:element>
    <xsd:element name="ResponsibleTeam" ma:index="29" nillable="true" ma:displayName="Responsibility" ma:description="Team or person with responsibility for updating publication" ma:format="Dropdown" ma:list="UserInfo" ma:SharePointGroup="0" ma:internalName="ResponsibleTeam">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riginaldate" ma:index="30" nillable="true" ma:displayName="Original date" ma:description="Original publication date" ma:format="DateOnly" ma:internalName="Originaldate">
      <xsd:simpleType>
        <xsd:restriction base="dms:DateTime"/>
      </xsd:simpleType>
    </xsd:element>
    <xsd:element name="Daterevised" ma:index="31" nillable="true" ma:displayName="Reviewed Date" ma:description="Date publication updated" ma:format="DateOnly" ma:internalName="Daterevised">
      <xsd:simpleType>
        <xsd:restriction base="dms:DateTime"/>
      </xsd:simpleType>
    </xsd:element>
    <xsd:element name="Library" ma:index="32" nillable="true" ma:displayName="Library" ma:description="Type of Library publication/document found in" ma:format="Dropdown" ma:internalName="Library">
      <xsd:simpleType>
        <xsd:restriction base="dms:Text">
          <xsd:maxLength value="255"/>
        </xsd:restriction>
      </xsd:simpleType>
    </xsd:element>
    <xsd:element name="Responsibleteam0" ma:index="33" nillable="true" ma:displayName="Responsible team" ma:format="Dropdown" ma:internalName="Responsibleteam0">
      <xsd:simpleType>
        <xsd:restriction base="dms:Note"/>
      </xsd:simpleType>
    </xsd:element>
    <xsd:element name="Comment" ma:index="34" nillable="true" ma:displayName="Comment" ma:format="Dropdown" ma:internalName="Comment">
      <xsd:simpleType>
        <xsd:restriction base="dms:Note">
          <xsd:maxLength value="255"/>
        </xsd:restriction>
      </xsd:simpleType>
    </xsd:element>
    <xsd:element name="Futurereviewdate" ma:index="35" nillable="true" ma:displayName="Future review date" ma:format="DateOnly" ma:indexed="true" ma:internalName="Futurereviewdate">
      <xsd:simpleType>
        <xsd:restriction base="dms:DateTime"/>
      </xsd:simpleType>
    </xsd:element>
    <xsd:element name="DateTest" ma:index="36" nillable="true" ma:displayName="DateTest" ma:format="DateOnly" ma:internalName="DateTest">
      <xsd:simpleType>
        <xsd:restriction base="dms:DateTime"/>
      </xsd:simpleType>
    </xsd:element>
    <xsd:element name="TextTest" ma:index="37" nillable="true" ma:displayName="TextTest" ma:format="Dropdown" ma:internalName="TextTest">
      <xsd:simpleType>
        <xsd:restriction base="dms:Text">
          <xsd:maxLength value="255"/>
        </xsd:restriction>
      </xsd:simpleType>
    </xsd:element>
    <xsd:element name="https_x003a__x002f__x002f_www_x002e_nottinghamshire_x002e_gov_x002e_uk_x002f_care_x002f_adult_x002d_social_x002d_care_x002f_social_x002d_care_x002d_publications_x002f_24_x002d_hour_x002d_emergency_x002d_home_x002d_care_x002d_response_x002d_service" ma:index="38" nillable="true" ma:displayName="Hyperlink" ma:description="relevant public webpage link" ma:format="Hyperlink" ma:internalName="https_x003a__x002f__x002f_www_x002e_nottinghamshire_x002e_gov_x002e_uk_x002f_care_x002f_adult_x002d_social_x002d_care_x002f_social_x002d_care_x002d_publications_x002f_24_x002d_hour_x002d_emergency_x002d_home_x002d_care_x002d_response_x002d_servic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8feb4a-2e94-44b3-a528-01d62593f1a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cc1ac3-d661-4513-9676-173c55b04fe2"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82c74ed-626c-4d89-8498-f621f8e93123}" ma:internalName="TaxCatchAll" ma:showField="CatchAllData" ma:web="9e8feb4a-2e94-44b3-a528-01d62593f1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99F838-6612-4A1C-8058-0B9B5F6C1034}">
  <ds:schemaRef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4652d981-a4df-4001-9557-765fee767975"/>
    <ds:schemaRef ds:uri="http://schemas.openxmlformats.org/package/2006/metadata/core-properties"/>
    <ds:schemaRef ds:uri="http://schemas.microsoft.com/office/infopath/2007/PartnerControls"/>
    <ds:schemaRef ds:uri="http://purl.org/dc/terms/"/>
    <ds:schemaRef ds:uri="7f7c714c-a929-4ba2-820d-d24d9401169e"/>
    <ds:schemaRef ds:uri="88cc1ac3-d661-4513-9676-173c55b04fe2"/>
  </ds:schemaRefs>
</ds:datastoreItem>
</file>

<file path=customXml/itemProps2.xml><?xml version="1.0" encoding="utf-8"?>
<ds:datastoreItem xmlns:ds="http://schemas.openxmlformats.org/officeDocument/2006/customXml" ds:itemID="{B3D52E32-A9D2-4EA9-B59E-FDE0127D9577}">
  <ds:schemaRefs>
    <ds:schemaRef ds:uri="http://schemas.microsoft.com/sharepoint/v3/contenttype/forms"/>
  </ds:schemaRefs>
</ds:datastoreItem>
</file>

<file path=customXml/itemProps3.xml><?xml version="1.0" encoding="utf-8"?>
<ds:datastoreItem xmlns:ds="http://schemas.openxmlformats.org/officeDocument/2006/customXml" ds:itemID="{EA2EFFA4-4FF2-41A3-ABA3-BB3B7DADF5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7c714c-a929-4ba2-820d-d24d9401169e"/>
    <ds:schemaRef ds:uri="9e8feb4a-2e94-44b3-a528-01d62593f1ac"/>
    <ds:schemaRef ds:uri="88cc1ac3-d661-4513-9676-173c55b04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fd7c08e-9c24-436d-a6ad-a8ecb8394d49}" enabled="1" method="Standard" siteId="{6e5a37bb-a961-4e4f-baae-2798a2245f3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34</vt:i4>
      </vt:variant>
    </vt:vector>
  </HeadingPairs>
  <TitlesOfParts>
    <vt:vector size="38" baseType="lpstr">
      <vt:lpstr>CSE Calc</vt:lpstr>
      <vt:lpstr>Description</vt:lpstr>
      <vt:lpstr>Rates</vt:lpstr>
      <vt:lpstr>Lookup</vt:lpstr>
      <vt:lpstr>Accommodation_Based_Supported_Living_Providers_Current</vt:lpstr>
      <vt:lpstr>After_Community_Network_Providers</vt:lpstr>
      <vt:lpstr>After_Support</vt:lpstr>
      <vt:lpstr>After_Support_Description</vt:lpstr>
      <vt:lpstr>After_Supported_Living_Plus_With_Accomm_Providers</vt:lpstr>
      <vt:lpstr>After_Supported_Living_Plus_Without_Accomm_Providers</vt:lpstr>
      <vt:lpstr>After_Supported_Living_WITH_Accomm__Providers</vt:lpstr>
      <vt:lpstr>After_Supported_Living_Without_Accomm_Providers</vt:lpstr>
      <vt:lpstr>Current_CSE_Day_Care</vt:lpstr>
      <vt:lpstr>Current_Outreach_Providers</vt:lpstr>
      <vt:lpstr>Current_Support</vt:lpstr>
      <vt:lpstr>Current_Support_Description</vt:lpstr>
      <vt:lpstr>Current_Supported_Living_Plus_Providers</vt:lpstr>
      <vt:lpstr>Current_Supported_Living_Providers</vt:lpstr>
      <vt:lpstr>Enhanced_Supported_Living_Providers_Current</vt:lpstr>
      <vt:lpstr>ICB</vt:lpstr>
      <vt:lpstr>Legacy_Outreach_Providers</vt:lpstr>
      <vt:lpstr>Legacy_Support</vt:lpstr>
      <vt:lpstr>Legacy_Support_Description</vt:lpstr>
      <vt:lpstr>Legacy_Supported_Living_Plus_Providers</vt:lpstr>
      <vt:lpstr>Legacy_Supported_Living_Providers</vt:lpstr>
      <vt:lpstr>NCCOnetoOneHours</vt:lpstr>
      <vt:lpstr>NoYes</vt:lpstr>
      <vt:lpstr>Outreach_Providers_Historic</vt:lpstr>
      <vt:lpstr>Outreach_Providers_Legacy</vt:lpstr>
      <vt:lpstr>'CSE Calc'!Print_Area</vt:lpstr>
      <vt:lpstr>Select_Provider</vt:lpstr>
      <vt:lpstr>SharedDaytimeContr</vt:lpstr>
      <vt:lpstr>SharedWakingNightsContr</vt:lpstr>
      <vt:lpstr>Standard_NonStandard</vt:lpstr>
      <vt:lpstr>SupportafterDec19</vt:lpstr>
      <vt:lpstr>SupportbeforeDec19</vt:lpstr>
      <vt:lpstr>Teams</vt:lpstr>
      <vt:lpstr>YesNo</vt:lpstr>
    </vt:vector>
  </TitlesOfParts>
  <Company>NCC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CSE - CSE Cal 26-27 V17</dc:title>
  <dc:creator>Andrew1 Walker</dc:creator>
  <dc:description>v 2.9
12th Sept 22 Version inclusing warning message if start dare is before 12th Sep 22</dc:description>
  <cp:lastModifiedBy>Helen Manser</cp:lastModifiedBy>
  <cp:lastPrinted>2026-03-24T09:22:17Z</cp:lastPrinted>
  <dcterms:created xsi:type="dcterms:W3CDTF">2019-01-25T09:47:47Z</dcterms:created>
  <dcterms:modified xsi:type="dcterms:W3CDTF">2026-04-02T11:32:45Z</dcterms:modified>
  <cp:category>24/25 v4.0</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0x010100260882D285008B449534F1CC8720F8A5</vt:lpwstr>
  </property>
  <property fmtid="{D5CDD505-2E9C-101B-9397-08002B2CF9AE}" pid="3" name="MediaServiceImageTags">
    <vt:lpwstr/>
  </property>
</Properties>
</file>