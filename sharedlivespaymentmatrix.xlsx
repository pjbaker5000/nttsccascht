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C384\Downloads\"/>
    </mc:Choice>
  </mc:AlternateContent>
  <xr:revisionPtr revIDLastSave="0" documentId="13_ncr:1_{D4A37833-DBB7-4F46-8071-0D18382522B8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LT cost" sheetId="1" r:id="rId1"/>
    <sheet name="ST cost" sheetId="2" r:id="rId2"/>
    <sheet name="day service or outreach" sheetId="4" r:id="rId3"/>
    <sheet name="ST protected rates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5" i="1" l="1"/>
  <c r="AP12" i="2"/>
  <c r="AQ12" i="2" s="1"/>
  <c r="AZ12" i="1"/>
  <c r="AY14" i="1"/>
  <c r="AH6" i="4"/>
  <c r="AH7" i="4"/>
  <c r="AH8" i="4"/>
  <c r="AH5" i="4"/>
  <c r="AI14" i="4"/>
  <c r="AJ14" i="4" s="1"/>
  <c r="AP16" i="2"/>
  <c r="AQ16" i="2" s="1"/>
  <c r="AP14" i="2"/>
  <c r="AQ14" i="2" s="1"/>
  <c r="AP13" i="2"/>
  <c r="AQ13" i="2" s="1"/>
  <c r="AJ22" i="2"/>
  <c r="AJ23" i="2"/>
  <c r="AJ24" i="2"/>
  <c r="AQ7" i="2" s="1"/>
  <c r="AJ21" i="2"/>
  <c r="AQ4" i="2" s="1"/>
  <c r="AI22" i="2"/>
  <c r="AI23" i="2"/>
  <c r="AI24" i="2"/>
  <c r="AI21" i="2"/>
  <c r="AP4" i="2"/>
  <c r="AO5" i="2"/>
  <c r="AQ5" i="2" s="1"/>
  <c r="AO6" i="2"/>
  <c r="AO7" i="2"/>
  <c r="AP7" i="2" s="1"/>
  <c r="AO4" i="2"/>
  <c r="AQ6" i="2"/>
  <c r="AP5" i="2"/>
  <c r="AP34" i="2"/>
  <c r="AV4" i="1"/>
  <c r="AV6" i="1"/>
  <c r="AV7" i="1"/>
  <c r="AV3" i="1"/>
  <c r="AJ5" i="2"/>
  <c r="AJ6" i="2"/>
  <c r="AJ7" i="2"/>
  <c r="AJ4" i="2"/>
  <c r="AR19" i="1"/>
  <c r="AG32" i="1"/>
  <c r="AH30" i="1"/>
  <c r="AH29" i="1"/>
  <c r="AB8" i="4"/>
  <c r="AB7" i="4"/>
  <c r="AB6" i="4"/>
  <c r="AB5" i="4"/>
  <c r="AC14" i="4"/>
  <c r="AD14" i="4" s="1"/>
  <c r="AI16" i="2"/>
  <c r="AJ16" i="2" s="1"/>
  <c r="AH5" i="2"/>
  <c r="AH6" i="2"/>
  <c r="AH7" i="2"/>
  <c r="AH4" i="2"/>
  <c r="AI12" i="2" s="1"/>
  <c r="AJ12" i="2" s="1"/>
  <c r="AI34" i="2"/>
  <c r="AR12" i="1"/>
  <c r="AP14" i="1"/>
  <c r="AQ14" i="1" s="1"/>
  <c r="AN7" i="1"/>
  <c r="AN6" i="1"/>
  <c r="AN5" i="1"/>
  <c r="AN4" i="1"/>
  <c r="AN3" i="1"/>
  <c r="AB16" i="2"/>
  <c r="AC16" i="2" s="1"/>
  <c r="AB12" i="2"/>
  <c r="AC12" i="2" s="1"/>
  <c r="AJ12" i="1"/>
  <c r="AH14" i="1"/>
  <c r="AI14" i="1" s="1"/>
  <c r="AG5" i="1"/>
  <c r="AG6" i="1"/>
  <c r="AG7" i="1"/>
  <c r="AG4" i="1"/>
  <c r="V6" i="4"/>
  <c r="V7" i="4"/>
  <c r="V8" i="4"/>
  <c r="V5" i="4"/>
  <c r="W14" i="4"/>
  <c r="X14" i="4" s="1"/>
  <c r="AB5" i="2"/>
  <c r="AB22" i="2" s="1"/>
  <c r="AI5" i="2" s="1"/>
  <c r="AB6" i="2"/>
  <c r="AB23" i="2" s="1"/>
  <c r="AI6" i="2" s="1"/>
  <c r="AB7" i="2"/>
  <c r="AB24" i="2" s="1"/>
  <c r="AI7" i="2" s="1"/>
  <c r="AA5" i="2"/>
  <c r="AA6" i="2"/>
  <c r="AA7" i="2"/>
  <c r="AA4" i="2"/>
  <c r="AB4" i="2" s="1"/>
  <c r="AB34" i="2"/>
  <c r="AJ19" i="1"/>
  <c r="AF7" i="1"/>
  <c r="AF6" i="1"/>
  <c r="AF5" i="1"/>
  <c r="AF4" i="1"/>
  <c r="AF3" i="1"/>
  <c r="U16" i="2"/>
  <c r="AQ15" i="2" l="1"/>
  <c r="AQ17" i="2" s="1"/>
  <c r="AP36" i="2" s="1"/>
  <c r="AP38" i="2" s="1"/>
  <c r="AP6" i="2"/>
  <c r="AX15" i="1"/>
  <c r="AY15" i="1" s="1"/>
  <c r="AY16" i="1" s="1"/>
  <c r="AZ17" i="1" s="1"/>
  <c r="AZ21" i="1" s="1"/>
  <c r="AB21" i="2"/>
  <c r="AB13" i="2"/>
  <c r="AC13" i="2" s="1"/>
  <c r="AC7" i="2"/>
  <c r="AC24" i="2" s="1"/>
  <c r="AC6" i="2"/>
  <c r="AC23" i="2" s="1"/>
  <c r="AC4" i="2"/>
  <c r="AC5" i="2"/>
  <c r="AC22" i="2" s="1"/>
  <c r="AI4" i="2"/>
  <c r="AI13" i="2" s="1"/>
  <c r="AJ13" i="2" s="1"/>
  <c r="AP15" i="1"/>
  <c r="AQ15" i="1" s="1"/>
  <c r="AQ16" i="1" s="1"/>
  <c r="AR17" i="1" s="1"/>
  <c r="AR21" i="1" s="1"/>
  <c r="AR22" i="1" s="1"/>
  <c r="AH15" i="1"/>
  <c r="AI15" i="1" s="1"/>
  <c r="AI16" i="1" s="1"/>
  <c r="AJ17" i="1" s="1"/>
  <c r="AJ21" i="1" s="1"/>
  <c r="AJ22" i="1" s="1"/>
  <c r="Q6" i="4"/>
  <c r="Q7" i="4"/>
  <c r="Q8" i="4"/>
  <c r="R14" i="4" s="1"/>
  <c r="S14" i="4" s="1"/>
  <c r="Q5" i="4"/>
  <c r="T7" i="2"/>
  <c r="N5" i="2"/>
  <c r="N6" i="2"/>
  <c r="N7" i="2"/>
  <c r="N4" i="2"/>
  <c r="U34" i="2"/>
  <c r="Y5" i="1"/>
  <c r="Z14" i="1" s="1"/>
  <c r="AA14" i="1" s="1"/>
  <c r="Y6" i="1"/>
  <c r="Y7" i="1"/>
  <c r="Y4" i="1"/>
  <c r="X7" i="1"/>
  <c r="X6" i="1"/>
  <c r="T6" i="2" s="1"/>
  <c r="X5" i="1"/>
  <c r="T5" i="2" s="1"/>
  <c r="X4" i="1"/>
  <c r="T4" i="2" s="1"/>
  <c r="U12" i="2" s="1"/>
  <c r="X3" i="1"/>
  <c r="AC21" i="2" l="1"/>
  <c r="AI14" i="2" s="1"/>
  <c r="AJ14" i="2" s="1"/>
  <c r="AJ15" i="2" s="1"/>
  <c r="AJ17" i="2" s="1"/>
  <c r="AI36" i="2" s="1"/>
  <c r="AI38" i="2" s="1"/>
  <c r="AB14" i="2"/>
  <c r="AC14" i="2" s="1"/>
  <c r="AC15" i="2" s="1"/>
  <c r="AC17" i="2" s="1"/>
  <c r="AB36" i="2" s="1"/>
  <c r="AB38" i="2" s="1"/>
  <c r="AB12" i="1"/>
  <c r="Z15" i="1"/>
  <c r="AA15" i="1" s="1"/>
  <c r="AA16" i="1" s="1"/>
  <c r="AB17" i="1" s="1"/>
  <c r="AB21" i="1" s="1"/>
  <c r="AB22" i="1" s="1"/>
  <c r="G14" i="4" l="1"/>
  <c r="B14" i="4"/>
  <c r="G12" i="4"/>
  <c r="B12" i="4"/>
  <c r="H16" i="2"/>
  <c r="H14" i="2"/>
  <c r="H13" i="2"/>
  <c r="H12" i="2"/>
  <c r="B16" i="2"/>
  <c r="B14" i="2"/>
  <c r="B13" i="2"/>
  <c r="B12" i="2"/>
  <c r="H10" i="2"/>
  <c r="B10" i="2"/>
  <c r="I10" i="1"/>
  <c r="B10" i="1"/>
  <c r="T12" i="1"/>
  <c r="R14" i="1"/>
  <c r="S14" i="1" s="1"/>
  <c r="O34" i="2"/>
  <c r="M14" i="4"/>
  <c r="N14" i="4" s="1"/>
  <c r="V12" i="2" l="1"/>
  <c r="O16" i="2"/>
  <c r="P16" i="2" s="1"/>
  <c r="V16" i="2"/>
  <c r="R15" i="1"/>
  <c r="S15" i="1" s="1"/>
  <c r="S16" i="1" s="1"/>
  <c r="T17" i="1" s="1"/>
  <c r="I34" i="2"/>
  <c r="T21" i="1" l="1"/>
  <c r="C14" i="4"/>
  <c r="H14" i="4"/>
  <c r="I14" i="4" s="1"/>
  <c r="C14" i="2"/>
  <c r="C22" i="2"/>
  <c r="D22" i="2"/>
  <c r="C23" i="2"/>
  <c r="D23" i="2"/>
  <c r="C24" i="2"/>
  <c r="D24" i="2"/>
  <c r="D21" i="2"/>
  <c r="C21" i="2"/>
  <c r="I24" i="2"/>
  <c r="H5" i="2" s="1"/>
  <c r="C15" i="1"/>
  <c r="C14" i="1"/>
  <c r="D14" i="1"/>
  <c r="M19" i="1"/>
  <c r="F19" i="1"/>
  <c r="I7" i="1"/>
  <c r="I6" i="1"/>
  <c r="I5" i="1"/>
  <c r="I4" i="1"/>
  <c r="I3" i="1"/>
  <c r="U5" i="2" l="1"/>
  <c r="O5" i="2"/>
  <c r="U4" i="2"/>
  <c r="U13" i="2" s="1"/>
  <c r="O4" i="2"/>
  <c r="V4" i="2"/>
  <c r="U14" i="2" s="1"/>
  <c r="P4" i="2"/>
  <c r="P7" i="2"/>
  <c r="V7" i="2"/>
  <c r="U7" i="2"/>
  <c r="O7" i="2"/>
  <c r="O6" i="2"/>
  <c r="U6" i="2"/>
  <c r="V5" i="2"/>
  <c r="P5" i="2"/>
  <c r="P6" i="2"/>
  <c r="V6" i="2"/>
  <c r="M3" i="1"/>
  <c r="M7" i="1"/>
  <c r="J7" i="1" s="1"/>
  <c r="M4" i="1"/>
  <c r="J4" i="1" s="1"/>
  <c r="M5" i="1"/>
  <c r="J5" i="1" s="1"/>
  <c r="K14" i="1" s="1"/>
  <c r="L14" i="1" s="1"/>
  <c r="M6" i="1"/>
  <c r="J6" i="1" s="1"/>
  <c r="H4" i="2"/>
  <c r="I4" i="2" s="1"/>
  <c r="T22" i="1"/>
  <c r="H7" i="2"/>
  <c r="O12" i="2" s="1"/>
  <c r="H6" i="2"/>
  <c r="M12" i="1"/>
  <c r="F12" i="1"/>
  <c r="C12" i="2"/>
  <c r="I16" i="2"/>
  <c r="J16" i="2" s="1"/>
  <c r="C16" i="2"/>
  <c r="C13" i="2"/>
  <c r="I5" i="2"/>
  <c r="J5" i="2"/>
  <c r="I12" i="2"/>
  <c r="J12" i="2" s="1"/>
  <c r="V14" i="2" l="1"/>
  <c r="V13" i="2"/>
  <c r="V15" i="2" s="1"/>
  <c r="V17" i="2" s="1"/>
  <c r="U36" i="2" s="1"/>
  <c r="U38" i="2" s="1"/>
  <c r="K15" i="1"/>
  <c r="L15" i="1" s="1"/>
  <c r="L16" i="1" s="1"/>
  <c r="M17" i="1" s="1"/>
  <c r="J4" i="2"/>
  <c r="P12" i="2"/>
  <c r="J7" i="2"/>
  <c r="I7" i="2"/>
  <c r="O13" i="2" s="1"/>
  <c r="I6" i="2"/>
  <c r="J6" i="2"/>
  <c r="M21" i="1" l="1"/>
  <c r="I14" i="2"/>
  <c r="J14" i="2" s="1"/>
  <c r="O14" i="2"/>
  <c r="P14" i="2" s="1"/>
  <c r="I13" i="2"/>
  <c r="J13" i="2" s="1"/>
  <c r="P13" i="2"/>
  <c r="M22" i="1" l="1"/>
  <c r="J15" i="2"/>
  <c r="J17" i="2" s="1"/>
  <c r="I36" i="2" s="1"/>
  <c r="I38" i="2" s="1"/>
  <c r="P15" i="2"/>
  <c r="D14" i="4"/>
  <c r="B8" i="3"/>
  <c r="D8" i="3" s="1"/>
  <c r="D6" i="3"/>
  <c r="D5" i="3"/>
  <c r="C4" i="3"/>
  <c r="D4" i="3" s="1"/>
  <c r="D16" i="2"/>
  <c r="D14" i="2"/>
  <c r="D13" i="2"/>
  <c r="D12" i="2"/>
  <c r="P17" i="2" l="1"/>
  <c r="I16" i="4"/>
  <c r="D7" i="3"/>
  <c r="D9" i="3" s="1"/>
  <c r="D15" i="2"/>
  <c r="E14" i="1"/>
  <c r="O36" i="2" l="1"/>
  <c r="O38" i="2" s="1"/>
  <c r="D17" i="2"/>
  <c r="J20" i="2" s="1"/>
  <c r="J19" i="2"/>
  <c r="D15" i="1"/>
  <c r="E15" i="1" s="1"/>
  <c r="E16" i="1" s="1"/>
  <c r="F17" i="1" s="1"/>
  <c r="M24" i="1" l="1"/>
  <c r="F21" i="1"/>
  <c r="M25" i="1" l="1"/>
  <c r="F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 Sargent</author>
  </authors>
  <commentList>
    <comment ref="Q7" authorId="0" shapeId="0" xr:uid="{5DEC9E48-4404-4D78-B8CA-7A9ED31FF75D}">
      <text>
        <r>
          <rPr>
            <b/>
            <sz val="9"/>
            <color indexed="81"/>
            <rFont val="Tahoma"/>
            <family val="2"/>
          </rPr>
          <t>Kath Sargent:</t>
        </r>
        <r>
          <rPr>
            <sz val="9"/>
            <color indexed="81"/>
            <rFont val="Tahoma"/>
            <family val="2"/>
          </rPr>
          <t xml:space="preserve">
rate less than actual day service matrix rate to ensure no carer receives less
</t>
        </r>
      </text>
    </comment>
  </commentList>
</comments>
</file>

<file path=xl/sharedStrings.xml><?xml version="1.0" encoding="utf-8"?>
<sst xmlns="http://schemas.openxmlformats.org/spreadsheetml/2006/main" count="507" uniqueCount="92">
  <si>
    <t>2018-19 Rates</t>
  </si>
  <si>
    <t>2019-20 Rates</t>
  </si>
  <si>
    <t>2020/21 Rates</t>
  </si>
  <si>
    <t>2021/22 Rates</t>
  </si>
  <si>
    <t>2022/23 Rates</t>
  </si>
  <si>
    <t>2023/24 Rates</t>
  </si>
  <si>
    <t>2024/25 Rates</t>
  </si>
  <si>
    <t>need level</t>
  </si>
  <si>
    <t>Matrix rate for shared lives week</t>
  </si>
  <si>
    <t>matrix rate for alternative service per session</t>
  </si>
  <si>
    <t>standard holiday weeks</t>
  </si>
  <si>
    <t>matrix rate for alternative day service per session</t>
  </si>
  <si>
    <t>Basic</t>
  </si>
  <si>
    <t>n/a</t>
  </si>
  <si>
    <t>payment</t>
  </si>
  <si>
    <t>increase by 1.56%</t>
  </si>
  <si>
    <t>increase by 5.58%</t>
  </si>
  <si>
    <t>increase by 6.87%</t>
  </si>
  <si>
    <t>increase by 7%</t>
  </si>
  <si>
    <t>Low</t>
  </si>
  <si>
    <t>what increase on day service?</t>
  </si>
  <si>
    <t>Medium</t>
  </si>
  <si>
    <t>High</t>
  </si>
  <si>
    <t>Complex</t>
  </si>
  <si>
    <t>Name</t>
  </si>
  <si>
    <t>Matrix score</t>
  </si>
  <si>
    <t>Matrix rate</t>
  </si>
  <si>
    <t>LESS</t>
  </si>
  <si>
    <t>no. of sessions/wk</t>
  </si>
  <si>
    <t>amount per session/wk</t>
  </si>
  <si>
    <t>Alternative sessions</t>
  </si>
  <si>
    <t>additional holiday weeks (matrix score less SU contribution)</t>
  </si>
  <si>
    <t>TOTAL CARER INCOME</t>
  </si>
  <si>
    <t>Made up of:</t>
  </si>
  <si>
    <t>Service user contribution</t>
  </si>
  <si>
    <t>increase in customer contribution by 0.5%</t>
  </si>
  <si>
    <t>housing benefit/Rent</t>
  </si>
  <si>
    <t>Notts CC payment</t>
  </si>
  <si>
    <t>Total Change since April 2018</t>
  </si>
  <si>
    <t>NCC Change since April 2018</t>
  </si>
  <si>
    <t>Benefit and pensions rates 2023 to 2024 (publishing.service.gov.uk)</t>
  </si>
  <si>
    <t>Universal Credit</t>
  </si>
  <si>
    <t>22/23</t>
  </si>
  <si>
    <t>23/24</t>
  </si>
  <si>
    <t>Standard Allowance</t>
  </si>
  <si>
    <t>Single under 25</t>
  </si>
  <si>
    <t>Single 25 or over</t>
  </si>
  <si>
    <t>Contribution</t>
  </si>
  <si>
    <t>Short term carer payments</t>
  </si>
  <si>
    <t>2018/19 Rates</t>
  </si>
  <si>
    <t>2019/20 Rates</t>
  </si>
  <si>
    <t>2020/2021 rates</t>
  </si>
  <si>
    <t>2021/2022 rates</t>
  </si>
  <si>
    <t>2022/2023 rates</t>
  </si>
  <si>
    <t>2023/2024 rates</t>
  </si>
  <si>
    <t>2024/2025 rates</t>
  </si>
  <si>
    <t>Matrix rate for shared lives 24 hrs</t>
  </si>
  <si>
    <t>JUST night rate</t>
  </si>
  <si>
    <t>JUST day rate</t>
  </si>
  <si>
    <t>SU contribution per night</t>
  </si>
  <si>
    <t>increase of payments by 1.56%</t>
  </si>
  <si>
    <t>increase of payments by 5.58%</t>
  </si>
  <si>
    <t>increase of payments by 6.87%</t>
  </si>
  <si>
    <t>increase of payments by 7%</t>
  </si>
  <si>
    <t>increase in customer contribution by 3.1%</t>
  </si>
  <si>
    <t>increase in customer contribution by 10.1%</t>
  </si>
  <si>
    <t>increase in customer contribution by 6.7%</t>
  </si>
  <si>
    <t>HW</t>
  </si>
  <si>
    <t>number</t>
  </si>
  <si>
    <t>rate</t>
  </si>
  <si>
    <t>24 hr period</t>
  </si>
  <si>
    <t>JUST nights</t>
  </si>
  <si>
    <t>JUST days</t>
  </si>
  <si>
    <t>TOTAL INCOME TO CARER</t>
  </si>
  <si>
    <t>LESS SU contribution</t>
  </si>
  <si>
    <t>TOTAL PAYMENT FROM NCC</t>
  </si>
  <si>
    <t>Weekly Increase</t>
  </si>
  <si>
    <t>Daily Increase</t>
  </si>
  <si>
    <t>For Commissioning Purposes</t>
  </si>
  <si>
    <t>Arrival Date</t>
  </si>
  <si>
    <t>Departure Date</t>
  </si>
  <si>
    <t>No of Nights</t>
  </si>
  <si>
    <t>Effective weekly cost for Mosaic</t>
  </si>
  <si>
    <t>Payment to Carer</t>
  </si>
  <si>
    <t>Day Service or Outreach</t>
  </si>
  <si>
    <t>2020-21 Rates</t>
  </si>
  <si>
    <t>Need level</t>
  </si>
  <si>
    <t>matrix rate per session</t>
  </si>
  <si>
    <t>1/2 day sessions or outreach contacts per week</t>
  </si>
  <si>
    <t>Customer nightly contribution £10.50</t>
  </si>
  <si>
    <t>12 hrs over night</t>
  </si>
  <si>
    <t>12 hrs just daytime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</si>
</sst>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;[Red]\-&quot;£&quot;#,##0"/>
    <numFmt numFmtId="8" formatCode="&quot;£&quot;#,##0.00;[Red]\-&quot;£&quot;#,##0.00"/>
    <numFmt numFmtId="43" formatCode="_-* #,##0.00_-;\-* #,##0.00_-;_-* &quot;-&quot;??_-;_-@_-"/>
    <numFmt numFmtId="164" formatCode="0.0%"/>
    <numFmt numFmtId="165" formatCode="&quot;£&quot;#,##0.00"/>
    <numFmt numFmtId="166" formatCode="0.000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applyProtection="1">
      <protection locked="0"/>
    </xf>
    <xf numFmtId="0" fontId="0" fillId="2" borderId="3" xfId="0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2" borderId="0" xfId="0" applyFill="1" applyProtection="1">
      <protection locked="0"/>
    </xf>
    <xf numFmtId="0" fontId="0" fillId="0" borderId="6" xfId="0" applyBorder="1" applyProtection="1">
      <protection locked="0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8" fontId="0" fillId="0" borderId="1" xfId="0" applyNumberFormat="1" applyBorder="1"/>
    <xf numFmtId="8" fontId="0" fillId="3" borderId="1" xfId="0" applyNumberFormat="1" applyFill="1" applyBorder="1"/>
    <xf numFmtId="8" fontId="4" fillId="0" borderId="1" xfId="0" applyNumberFormat="1" applyFont="1" applyBorder="1"/>
    <xf numFmtId="8" fontId="5" fillId="0" borderId="1" xfId="0" applyNumberFormat="1" applyFont="1" applyBorder="1"/>
    <xf numFmtId="0" fontId="2" fillId="0" borderId="2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2" fontId="0" fillId="0" borderId="10" xfId="0" applyNumberFormat="1" applyBorder="1"/>
    <xf numFmtId="0" fontId="2" fillId="0" borderId="9" xfId="0" applyFont="1" applyBorder="1" applyProtection="1">
      <protection locked="0"/>
    </xf>
    <xf numFmtId="0" fontId="2" fillId="0" borderId="1" xfId="0" applyFont="1" applyBorder="1" applyProtection="1">
      <protection locked="0"/>
    </xf>
    <xf numFmtId="2" fontId="2" fillId="0" borderId="1" xfId="0" applyNumberFormat="1" applyFont="1" applyBorder="1" applyProtection="1">
      <protection locked="0"/>
    </xf>
    <xf numFmtId="2" fontId="2" fillId="0" borderId="10" xfId="0" applyNumberFormat="1" applyFont="1" applyBorder="1"/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2" fontId="2" fillId="0" borderId="13" xfId="0" applyNumberFormat="1" applyFont="1" applyBorder="1"/>
    <xf numFmtId="2" fontId="0" fillId="3" borderId="1" xfId="0" applyNumberFormat="1" applyFill="1" applyBorder="1"/>
    <xf numFmtId="0" fontId="0" fillId="2" borderId="12" xfId="0" applyFill="1" applyBorder="1" applyProtection="1">
      <protection locked="0"/>
    </xf>
    <xf numFmtId="2" fontId="0" fillId="0" borderId="13" xfId="0" applyNumberFormat="1" applyBorder="1"/>
    <xf numFmtId="14" fontId="0" fillId="2" borderId="0" xfId="0" applyNumberFormat="1" applyFill="1" applyProtection="1">
      <protection locked="0"/>
    </xf>
    <xf numFmtId="0" fontId="2" fillId="0" borderId="14" xfId="1" applyFont="1" applyBorder="1" applyAlignment="1">
      <alignment wrapText="1"/>
    </xf>
    <xf numFmtId="0" fontId="2" fillId="0" borderId="0" xfId="1" applyFont="1" applyAlignment="1">
      <alignment wrapText="1"/>
    </xf>
    <xf numFmtId="0" fontId="1" fillId="0" borderId="1" xfId="1" applyBorder="1"/>
    <xf numFmtId="0" fontId="1" fillId="0" borderId="0" xfId="1"/>
    <xf numFmtId="9" fontId="0" fillId="0" borderId="0" xfId="3" applyFont="1" applyProtection="1"/>
    <xf numFmtId="43" fontId="1" fillId="0" borderId="1" xfId="2" applyFont="1" applyBorder="1" applyProtection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0" borderId="6" xfId="0" applyBorder="1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8" fontId="0" fillId="4" borderId="1" xfId="0" applyNumberFormat="1" applyFill="1" applyBorder="1"/>
    <xf numFmtId="0" fontId="3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7" fillId="0" borderId="0" xfId="0" applyFont="1"/>
    <xf numFmtId="8" fontId="7" fillId="0" borderId="0" xfId="0" applyNumberFormat="1" applyFont="1"/>
    <xf numFmtId="0" fontId="2" fillId="0" borderId="0" xfId="0" applyFont="1"/>
    <xf numFmtId="0" fontId="2" fillId="0" borderId="14" xfId="0" applyFont="1" applyBorder="1" applyAlignment="1">
      <alignment wrapText="1"/>
    </xf>
    <xf numFmtId="2" fontId="0" fillId="0" borderId="1" xfId="0" applyNumberFormat="1" applyBorder="1"/>
    <xf numFmtId="2" fontId="0" fillId="0" borderId="0" xfId="0" applyNumberFormat="1"/>
    <xf numFmtId="0" fontId="2" fillId="0" borderId="2" xfId="0" applyFont="1" applyBorder="1"/>
    <xf numFmtId="0" fontId="2" fillId="0" borderId="5" xfId="0" applyFont="1" applyBorder="1"/>
    <xf numFmtId="0" fontId="0" fillId="0" borderId="9" xfId="0" applyBorder="1"/>
    <xf numFmtId="0" fontId="0" fillId="0" borderId="10" xfId="0" applyBorder="1"/>
    <xf numFmtId="2" fontId="0" fillId="4" borderId="1" xfId="0" applyNumberFormat="1" applyFill="1" applyBorder="1"/>
    <xf numFmtId="0" fontId="2" fillId="0" borderId="9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11" xfId="0" applyFont="1" applyBorder="1"/>
    <xf numFmtId="0" fontId="2" fillId="0" borderId="12" xfId="0" applyFont="1" applyBorder="1"/>
    <xf numFmtId="164" fontId="0" fillId="0" borderId="0" xfId="3" applyNumberFormat="1" applyFont="1" applyProtection="1"/>
    <xf numFmtId="6" fontId="0" fillId="0" borderId="0" xfId="0" applyNumberFormat="1"/>
    <xf numFmtId="0" fontId="8" fillId="0" borderId="2" xfId="0" applyFont="1" applyBorder="1"/>
    <xf numFmtId="1" fontId="0" fillId="4" borderId="0" xfId="0" applyNumberFormat="1" applyFill="1"/>
    <xf numFmtId="165" fontId="0" fillId="4" borderId="0" xfId="0" applyNumberFormat="1" applyFill="1"/>
    <xf numFmtId="0" fontId="0" fillId="0" borderId="18" xfId="0" applyBorder="1"/>
    <xf numFmtId="0" fontId="8" fillId="0" borderId="0" xfId="0" applyFont="1"/>
    <xf numFmtId="0" fontId="0" fillId="2" borderId="12" xfId="0" applyFill="1" applyBorder="1"/>
    <xf numFmtId="0" fontId="0" fillId="4" borderId="12" xfId="0" applyFill="1" applyBorder="1"/>
    <xf numFmtId="0" fontId="0" fillId="3" borderId="0" xfId="0" applyFill="1"/>
    <xf numFmtId="0" fontId="9" fillId="0" borderId="0" xfId="0" applyFont="1"/>
    <xf numFmtId="2" fontId="1" fillId="0" borderId="1" xfId="1" applyNumberFormat="1" applyBorder="1"/>
    <xf numFmtId="10" fontId="0" fillId="0" borderId="0" xfId="3" applyNumberFormat="1" applyFont="1" applyProtection="1"/>
    <xf numFmtId="0" fontId="0" fillId="0" borderId="0" xfId="0" applyAlignment="1" applyProtection="1">
      <alignment horizontal="right"/>
      <protection locked="0"/>
    </xf>
    <xf numFmtId="43" fontId="0" fillId="0" borderId="0" xfId="2" applyFont="1" applyProtection="1"/>
    <xf numFmtId="43" fontId="0" fillId="0" borderId="0" xfId="0" applyNumberFormat="1"/>
    <xf numFmtId="10" fontId="0" fillId="0" borderId="0" xfId="0" applyNumberFormat="1"/>
    <xf numFmtId="0" fontId="12" fillId="0" borderId="0" xfId="4"/>
    <xf numFmtId="8" fontId="0" fillId="0" borderId="0" xfId="0" applyNumberFormat="1"/>
    <xf numFmtId="0" fontId="13" fillId="0" borderId="0" xfId="0" applyFont="1"/>
    <xf numFmtId="8" fontId="13" fillId="0" borderId="0" xfId="0" applyNumberFormat="1" applyFont="1"/>
    <xf numFmtId="43" fontId="9" fillId="0" borderId="1" xfId="2" applyFont="1" applyBorder="1" applyProtection="1"/>
    <xf numFmtId="166" fontId="0" fillId="0" borderId="0" xfId="0" applyNumberFormat="1"/>
    <xf numFmtId="164" fontId="0" fillId="0" borderId="0" xfId="0" applyNumberFormat="1"/>
    <xf numFmtId="0" fontId="1" fillId="0" borderId="9" xfId="0" applyFont="1" applyBorder="1"/>
    <xf numFmtId="0" fontId="1" fillId="2" borderId="1" xfId="0" applyFont="1" applyFill="1" applyBorder="1"/>
    <xf numFmtId="0" fontId="1" fillId="2" borderId="1" xfId="0" applyFont="1" applyFill="1" applyBorder="1" applyProtection="1">
      <protection locked="0"/>
    </xf>
    <xf numFmtId="0" fontId="1" fillId="2" borderId="3" xfId="0" applyFont="1" applyFill="1" applyBorder="1"/>
    <xf numFmtId="0" fontId="1" fillId="2" borderId="3" xfId="0" applyFont="1" applyFill="1" applyBorder="1" applyProtection="1">
      <protection locked="0"/>
    </xf>
    <xf numFmtId="0" fontId="1" fillId="0" borderId="11" xfId="0" applyFont="1" applyBorder="1" applyAlignment="1">
      <alignment wrapText="1"/>
    </xf>
    <xf numFmtId="0" fontId="1" fillId="0" borderId="0" xfId="0" applyFont="1"/>
    <xf numFmtId="0" fontId="1" fillId="0" borderId="9" xfId="0" applyFont="1" applyBorder="1" applyProtection="1">
      <protection locked="0"/>
    </xf>
    <xf numFmtId="2" fontId="1" fillId="3" borderId="1" xfId="0" applyNumberFormat="1" applyFont="1" applyFill="1" applyBorder="1"/>
    <xf numFmtId="0" fontId="4" fillId="0" borderId="1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5">
    <cellStyle name="Comma" xfId="2" builtinId="3"/>
    <cellStyle name="Hyperlink" xfId="4" builtinId="8"/>
    <cellStyle name="Normal" xfId="0" builtinId="0"/>
    <cellStyle name="Normal 2" xfId="1" xr:uid="{00000000-0005-0000-0000-000001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ssets.publishing.service.gov.uk/government/uploads/system/uploads/attachment_data/file/1119548/benefit-and-pensions-rates-2023-2024.pdf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2"/>
  <sheetViews>
    <sheetView topLeftCell="AT4" workbookViewId="0">
      <selection activeCell="BI15" sqref="BI15:BJ15"/>
    </sheetView>
  </sheetViews>
  <sheetFormatPr defaultColWidth="9.1796875" defaultRowHeight="14.5" outlineLevelCol="1" x14ac:dyDescent="0.35"/>
  <cols>
    <col min="1" max="1" width="14" hidden="1" customWidth="1" outlineLevel="1"/>
    <col min="2" max="2" width="18.54296875" hidden="1" customWidth="1" outlineLevel="1"/>
    <col min="3" max="3" width="15.54296875" hidden="1" customWidth="1" outlineLevel="1"/>
    <col min="4" max="5" width="13" hidden="1" customWidth="1" outlineLevel="1"/>
    <col min="6" max="6" width="14.81640625" hidden="1" customWidth="1" outlineLevel="1"/>
    <col min="7" max="7" width="9.1796875" hidden="1" customWidth="1" outlineLevel="1"/>
    <col min="8" max="8" width="16.81640625" hidden="1" customWidth="1" outlineLevel="1"/>
    <col min="9" max="9" width="20.81640625" hidden="1" customWidth="1" outlineLevel="1"/>
    <col min="10" max="10" width="15.1796875" hidden="1" customWidth="1" outlineLevel="1"/>
    <col min="11" max="11" width="14.453125" hidden="1" customWidth="1" outlineLevel="1"/>
    <col min="12" max="12" width="9.1796875" hidden="1" customWidth="1" outlineLevel="1"/>
    <col min="13" max="13" width="12" hidden="1" customWidth="1" outlineLevel="1"/>
    <col min="14" max="14" width="9.1796875" hidden="1" customWidth="1" outlineLevel="1"/>
    <col min="15" max="15" width="16.81640625" hidden="1" customWidth="1" outlineLevel="1"/>
    <col min="16" max="16" width="20.81640625" hidden="1" customWidth="1" outlineLevel="1"/>
    <col min="17" max="17" width="15.1796875" hidden="1" customWidth="1" outlineLevel="1"/>
    <col min="18" max="18" width="14.453125" hidden="1" customWidth="1" outlineLevel="1"/>
    <col min="19" max="19" width="9.1796875" hidden="1" customWidth="1" outlineLevel="1"/>
    <col min="20" max="20" width="12" hidden="1" customWidth="1" outlineLevel="1"/>
    <col min="21" max="22" width="9.1796875" hidden="1" customWidth="1" outlineLevel="1"/>
    <col min="23" max="23" width="16.81640625" hidden="1" customWidth="1" outlineLevel="1"/>
    <col min="24" max="24" width="20.81640625" hidden="1" customWidth="1" outlineLevel="1"/>
    <col min="25" max="25" width="15.1796875" hidden="1" customWidth="1" outlineLevel="1"/>
    <col min="26" max="26" width="14.453125" hidden="1" customWidth="1" outlineLevel="1"/>
    <col min="27" max="27" width="9.1796875" hidden="1" customWidth="1" outlineLevel="1"/>
    <col min="28" max="28" width="12" hidden="1" customWidth="1" outlineLevel="1"/>
    <col min="29" max="30" width="9.1796875" hidden="1" customWidth="1" outlineLevel="1"/>
    <col min="31" max="31" width="19" hidden="1" customWidth="1" outlineLevel="1" collapsed="1"/>
    <col min="32" max="32" width="20.81640625" hidden="1" customWidth="1" outlineLevel="1"/>
    <col min="33" max="33" width="15.1796875" hidden="1" customWidth="1" outlineLevel="1"/>
    <col min="34" max="34" width="14.453125" hidden="1" customWidth="1" outlineLevel="1"/>
    <col min="35" max="35" width="9.1796875" hidden="1" customWidth="1" outlineLevel="1"/>
    <col min="36" max="36" width="12" hidden="1" customWidth="1" outlineLevel="1"/>
    <col min="37" max="37" width="9.1796875" hidden="1" customWidth="1" outlineLevel="1"/>
    <col min="38" max="38" width="9.1796875" hidden="1" customWidth="1" outlineLevel="1" collapsed="1"/>
    <col min="39" max="39" width="16.81640625" hidden="1" customWidth="1" outlineLevel="1" collapsed="1"/>
    <col min="40" max="40" width="20.81640625" hidden="1" customWidth="1" outlineLevel="1"/>
    <col min="41" max="41" width="15.1796875" hidden="1" customWidth="1" outlineLevel="1"/>
    <col min="42" max="42" width="14.453125" hidden="1" customWidth="1" outlineLevel="1"/>
    <col min="43" max="43" width="9.1796875" hidden="1" customWidth="1" outlineLevel="1"/>
    <col min="44" max="44" width="12" hidden="1" customWidth="1" outlineLevel="1"/>
    <col min="45" max="45" width="9.1796875" hidden="1" customWidth="1" outlineLevel="1"/>
    <col min="46" max="46" width="9.1796875" collapsed="1"/>
    <col min="47" max="47" width="16.81640625" customWidth="1" collapsed="1"/>
    <col min="48" max="48" width="20.81640625" customWidth="1"/>
    <col min="49" max="49" width="15.1796875" customWidth="1"/>
    <col min="50" max="50" width="14.453125" customWidth="1"/>
    <col min="52" max="52" width="12" customWidth="1"/>
  </cols>
  <sheetData>
    <row r="1" spans="1:52" ht="15" thickBot="1" x14ac:dyDescent="0.4">
      <c r="A1" s="101" t="s">
        <v>0</v>
      </c>
      <c r="B1" s="102"/>
      <c r="C1" s="102"/>
      <c r="D1" s="102"/>
      <c r="E1" s="102"/>
      <c r="F1" s="103"/>
      <c r="H1" s="101" t="s">
        <v>1</v>
      </c>
      <c r="I1" s="102"/>
      <c r="J1" s="102"/>
      <c r="K1" s="102"/>
      <c r="L1" s="102"/>
      <c r="M1" s="103"/>
      <c r="O1" s="101" t="s">
        <v>2</v>
      </c>
      <c r="P1" s="102"/>
      <c r="Q1" s="102"/>
      <c r="R1" s="102"/>
      <c r="S1" s="102"/>
      <c r="T1" s="103"/>
      <c r="W1" s="101" t="s">
        <v>3</v>
      </c>
      <c r="X1" s="102"/>
      <c r="Y1" s="102"/>
      <c r="Z1" s="102"/>
      <c r="AA1" s="102"/>
      <c r="AB1" s="103"/>
      <c r="AE1" s="101" t="s">
        <v>4</v>
      </c>
      <c r="AF1" s="102"/>
      <c r="AG1" s="102"/>
      <c r="AH1" s="102"/>
      <c r="AI1" s="102"/>
      <c r="AJ1" s="103"/>
      <c r="AM1" s="101" t="s">
        <v>5</v>
      </c>
      <c r="AN1" s="102"/>
      <c r="AO1" s="102"/>
      <c r="AP1" s="102"/>
      <c r="AQ1" s="102"/>
      <c r="AR1" s="103"/>
      <c r="AU1" s="101" t="s">
        <v>6</v>
      </c>
      <c r="AV1" s="102"/>
      <c r="AW1" s="102"/>
      <c r="AX1" s="102"/>
      <c r="AY1" s="102"/>
      <c r="AZ1" s="103"/>
    </row>
    <row r="2" spans="1:52" ht="52.5" x14ac:dyDescent="0.35">
      <c r="A2" s="29" t="s">
        <v>7</v>
      </c>
      <c r="B2" s="29" t="s">
        <v>8</v>
      </c>
      <c r="C2" s="29" t="s">
        <v>9</v>
      </c>
      <c r="D2" s="29" t="s">
        <v>10</v>
      </c>
      <c r="E2" s="30"/>
      <c r="H2" s="29" t="s">
        <v>7</v>
      </c>
      <c r="I2" s="29" t="s">
        <v>8</v>
      </c>
      <c r="J2" s="29" t="s">
        <v>9</v>
      </c>
      <c r="K2" s="29" t="s">
        <v>10</v>
      </c>
      <c r="L2" s="30"/>
      <c r="O2" s="29" t="s">
        <v>7</v>
      </c>
      <c r="P2" s="29" t="s">
        <v>8</v>
      </c>
      <c r="Q2" s="29" t="s">
        <v>11</v>
      </c>
      <c r="R2" s="29" t="s">
        <v>10</v>
      </c>
      <c r="S2" s="30"/>
      <c r="W2" s="29" t="s">
        <v>7</v>
      </c>
      <c r="X2" s="29" t="s">
        <v>8</v>
      </c>
      <c r="Y2" s="29" t="s">
        <v>11</v>
      </c>
      <c r="Z2" s="29" t="s">
        <v>10</v>
      </c>
      <c r="AA2" s="30"/>
      <c r="AE2" s="29" t="s">
        <v>7</v>
      </c>
      <c r="AF2" s="29" t="s">
        <v>8</v>
      </c>
      <c r="AG2" s="29" t="s">
        <v>11</v>
      </c>
      <c r="AH2" s="29" t="s">
        <v>10</v>
      </c>
      <c r="AI2" s="30"/>
      <c r="AM2" s="29" t="s">
        <v>7</v>
      </c>
      <c r="AN2" s="29" t="s">
        <v>8</v>
      </c>
      <c r="AO2" s="29" t="s">
        <v>11</v>
      </c>
      <c r="AP2" s="29" t="s">
        <v>10</v>
      </c>
      <c r="AQ2" s="30"/>
      <c r="AU2" s="29" t="s">
        <v>7</v>
      </c>
      <c r="AV2" s="29" t="s">
        <v>8</v>
      </c>
      <c r="AW2" s="29" t="s">
        <v>11</v>
      </c>
      <c r="AX2" s="29" t="s">
        <v>10</v>
      </c>
      <c r="AY2" s="30"/>
    </row>
    <row r="3" spans="1:52" x14ac:dyDescent="0.35">
      <c r="A3" s="31" t="s">
        <v>12</v>
      </c>
      <c r="B3" s="31">
        <v>210.68</v>
      </c>
      <c r="C3" s="31">
        <v>0</v>
      </c>
      <c r="D3" s="31" t="s">
        <v>13</v>
      </c>
      <c r="E3" s="32"/>
      <c r="H3" s="31" t="s">
        <v>12</v>
      </c>
      <c r="I3" s="31">
        <f>+B3+15</f>
        <v>225.68</v>
      </c>
      <c r="J3" s="31">
        <v>0</v>
      </c>
      <c r="K3" s="31" t="s">
        <v>13</v>
      </c>
      <c r="L3" s="32"/>
      <c r="M3" s="33">
        <f>+I3/B3</f>
        <v>1.0711980254414277</v>
      </c>
      <c r="O3" s="31" t="s">
        <v>12</v>
      </c>
      <c r="P3" s="78">
        <v>236.2</v>
      </c>
      <c r="Q3" s="31">
        <v>0</v>
      </c>
      <c r="R3" s="31" t="s">
        <v>13</v>
      </c>
      <c r="S3" s="32"/>
      <c r="T3" s="79"/>
      <c r="W3" s="31" t="s">
        <v>12</v>
      </c>
      <c r="X3" s="78">
        <f>ROUND(P3*1.0156,2)</f>
        <v>239.88</v>
      </c>
      <c r="Y3" s="31">
        <v>0</v>
      </c>
      <c r="Z3" s="31" t="s">
        <v>13</v>
      </c>
      <c r="AA3" s="32" t="s">
        <v>14</v>
      </c>
      <c r="AB3" s="79" t="s">
        <v>15</v>
      </c>
      <c r="AE3" s="31" t="s">
        <v>12</v>
      </c>
      <c r="AF3" s="78">
        <f>ROUND(X3*1.0558,2)</f>
        <v>253.27</v>
      </c>
      <c r="AG3" s="31">
        <v>0</v>
      </c>
      <c r="AH3" s="31" t="s">
        <v>13</v>
      </c>
      <c r="AI3" s="32" t="s">
        <v>14</v>
      </c>
      <c r="AJ3" s="79" t="s">
        <v>16</v>
      </c>
      <c r="AM3" s="31" t="s">
        <v>12</v>
      </c>
      <c r="AN3" s="78">
        <f>ROUND(AF3*1.0687,2)</f>
        <v>270.67</v>
      </c>
      <c r="AO3" s="31">
        <v>0</v>
      </c>
      <c r="AP3" s="31" t="s">
        <v>13</v>
      </c>
      <c r="AQ3" s="32"/>
      <c r="AR3" s="79" t="s">
        <v>17</v>
      </c>
      <c r="AU3" s="31" t="s">
        <v>12</v>
      </c>
      <c r="AV3" s="78">
        <f>ROUND(AN3*1.07,2)</f>
        <v>289.62</v>
      </c>
      <c r="AW3" s="31">
        <v>0</v>
      </c>
      <c r="AX3" s="31" t="s">
        <v>13</v>
      </c>
      <c r="AY3" s="32"/>
      <c r="AZ3" s="79" t="s">
        <v>18</v>
      </c>
    </row>
    <row r="4" spans="1:52" x14ac:dyDescent="0.35">
      <c r="A4" s="31" t="s">
        <v>19</v>
      </c>
      <c r="B4" s="31">
        <v>322.86</v>
      </c>
      <c r="C4" s="31">
        <v>7.74</v>
      </c>
      <c r="D4" s="31">
        <v>4</v>
      </c>
      <c r="E4" s="32" t="s">
        <v>20</v>
      </c>
      <c r="H4" s="31" t="s">
        <v>19</v>
      </c>
      <c r="I4" s="31">
        <f>+B4+15</f>
        <v>337.86</v>
      </c>
      <c r="J4" s="34">
        <f>+C4*M4</f>
        <v>8.0995985876231185</v>
      </c>
      <c r="K4" s="31">
        <v>4</v>
      </c>
      <c r="L4" s="32"/>
      <c r="M4" s="33">
        <f t="shared" ref="M4:M7" si="0">+I4/B4</f>
        <v>1.0464597658427801</v>
      </c>
      <c r="N4" s="82"/>
      <c r="O4" s="31" t="s">
        <v>19</v>
      </c>
      <c r="P4" s="78">
        <v>353.6</v>
      </c>
      <c r="Q4" s="34">
        <v>9.4700000000000006</v>
      </c>
      <c r="R4" s="31">
        <v>4</v>
      </c>
      <c r="S4" s="32"/>
      <c r="T4" s="79"/>
      <c r="W4" s="31" t="s">
        <v>19</v>
      </c>
      <c r="X4" s="78">
        <f t="shared" ref="X4:X7" si="1">ROUND(P4*1.0156,2)</f>
        <v>359.12</v>
      </c>
      <c r="Y4" s="34">
        <f>ROUND(Q4*1.0165,2)</f>
        <v>9.6300000000000008</v>
      </c>
      <c r="Z4" s="31">
        <v>4</v>
      </c>
      <c r="AA4" s="32"/>
      <c r="AB4" s="79"/>
      <c r="AE4" s="31" t="s">
        <v>19</v>
      </c>
      <c r="AF4" s="78">
        <f t="shared" ref="AF4:AF7" si="2">ROUND(X4*1.0558,2)</f>
        <v>379.16</v>
      </c>
      <c r="AG4" s="34">
        <f>ROUND(Y4*1.0585,2)</f>
        <v>10.19</v>
      </c>
      <c r="AH4" s="31">
        <v>4</v>
      </c>
      <c r="AI4" s="32"/>
      <c r="AJ4" s="79"/>
      <c r="AM4" s="31" t="s">
        <v>19</v>
      </c>
      <c r="AN4" s="78">
        <f>ROUND(AF4*1.0687,2)</f>
        <v>405.21</v>
      </c>
      <c r="AO4" s="88">
        <v>10.95</v>
      </c>
      <c r="AP4" s="31">
        <v>4</v>
      </c>
      <c r="AQ4" s="32"/>
      <c r="AR4" s="79"/>
      <c r="AU4" s="31" t="s">
        <v>19</v>
      </c>
      <c r="AV4" s="78">
        <f t="shared" ref="AV4:AV7" si="3">ROUND(AN4*1.07,2)</f>
        <v>433.57</v>
      </c>
      <c r="AW4" s="88">
        <v>11.79</v>
      </c>
      <c r="AX4" s="31">
        <v>4</v>
      </c>
      <c r="AY4" s="32"/>
      <c r="AZ4" s="79"/>
    </row>
    <row r="5" spans="1:52" x14ac:dyDescent="0.35">
      <c r="A5" s="31" t="s">
        <v>21</v>
      </c>
      <c r="B5" s="31">
        <v>455.29</v>
      </c>
      <c r="C5" s="31">
        <v>11.36</v>
      </c>
      <c r="D5" s="31">
        <v>4</v>
      </c>
      <c r="E5" s="32"/>
      <c r="H5" s="31" t="s">
        <v>21</v>
      </c>
      <c r="I5" s="31">
        <f>+B5+15</f>
        <v>470.29</v>
      </c>
      <c r="J5" s="34">
        <f t="shared" ref="J5:J7" si="4">+C5*M5</f>
        <v>11.734266950734698</v>
      </c>
      <c r="K5" s="31">
        <v>4</v>
      </c>
      <c r="L5" s="32"/>
      <c r="M5" s="33">
        <f t="shared" si="0"/>
        <v>1.03294603439566</v>
      </c>
      <c r="N5" s="82"/>
      <c r="O5" s="31" t="s">
        <v>21</v>
      </c>
      <c r="P5" s="31">
        <v>492.21</v>
      </c>
      <c r="Q5" s="34">
        <v>13.74</v>
      </c>
      <c r="R5" s="31">
        <v>4</v>
      </c>
      <c r="S5" s="32"/>
      <c r="T5" s="79"/>
      <c r="W5" s="31" t="s">
        <v>21</v>
      </c>
      <c r="X5" s="31">
        <f t="shared" si="1"/>
        <v>499.89</v>
      </c>
      <c r="Y5" s="34">
        <f t="shared" ref="Y5:Y7" si="5">ROUND(Q5*1.0165,2)</f>
        <v>13.97</v>
      </c>
      <c r="Z5" s="31">
        <v>4</v>
      </c>
      <c r="AA5" s="32"/>
      <c r="AB5" s="79"/>
      <c r="AE5" s="31" t="s">
        <v>21</v>
      </c>
      <c r="AF5" s="78">
        <f t="shared" si="2"/>
        <v>527.78</v>
      </c>
      <c r="AG5" s="34">
        <f t="shared" ref="AG5:AG7" si="6">ROUND(Y5*1.0585,2)</f>
        <v>14.79</v>
      </c>
      <c r="AH5" s="31">
        <v>4</v>
      </c>
      <c r="AI5" s="32"/>
      <c r="AJ5" s="79"/>
      <c r="AM5" s="31" t="s">
        <v>21</v>
      </c>
      <c r="AN5" s="78">
        <f>ROUND(AF5*1.0687,2)</f>
        <v>564.04</v>
      </c>
      <c r="AO5" s="88">
        <v>15.89</v>
      </c>
      <c r="AP5" s="31">
        <v>4</v>
      </c>
      <c r="AQ5" s="32"/>
      <c r="AR5" s="79"/>
      <c r="AU5" s="31" t="s">
        <v>21</v>
      </c>
      <c r="AV5" s="78">
        <f>ROUND(AN5*1.07,2)+3</f>
        <v>606.52</v>
      </c>
      <c r="AW5" s="88">
        <v>17.11</v>
      </c>
      <c r="AX5" s="31">
        <v>4</v>
      </c>
      <c r="AY5" s="32"/>
      <c r="AZ5" s="79"/>
    </row>
    <row r="6" spans="1:52" x14ac:dyDescent="0.35">
      <c r="A6" s="31" t="s">
        <v>22</v>
      </c>
      <c r="B6" s="31">
        <v>600.85</v>
      </c>
      <c r="C6" s="31">
        <v>17.04</v>
      </c>
      <c r="D6" s="31">
        <v>4</v>
      </c>
      <c r="E6" s="32"/>
      <c r="H6" s="31" t="s">
        <v>22</v>
      </c>
      <c r="I6" s="31">
        <f>+B6+15</f>
        <v>615.85</v>
      </c>
      <c r="J6" s="34">
        <f t="shared" si="4"/>
        <v>17.465397353748855</v>
      </c>
      <c r="K6" s="31">
        <v>4</v>
      </c>
      <c r="L6" s="32"/>
      <c r="M6" s="33">
        <f t="shared" si="0"/>
        <v>1.0249646334359657</v>
      </c>
      <c r="N6" s="82"/>
      <c r="O6" s="31" t="s">
        <v>22</v>
      </c>
      <c r="P6" s="31">
        <v>644.54999999999995</v>
      </c>
      <c r="Q6" s="34">
        <v>19.41</v>
      </c>
      <c r="R6" s="31">
        <v>4</v>
      </c>
      <c r="S6" s="32"/>
      <c r="T6" s="79"/>
      <c r="W6" s="31" t="s">
        <v>22</v>
      </c>
      <c r="X6" s="31">
        <f t="shared" si="1"/>
        <v>654.6</v>
      </c>
      <c r="Y6" s="34">
        <f t="shared" si="5"/>
        <v>19.73</v>
      </c>
      <c r="Z6" s="31">
        <v>4</v>
      </c>
      <c r="AA6" s="32"/>
      <c r="AB6" s="79"/>
      <c r="AE6" s="31" t="s">
        <v>22</v>
      </c>
      <c r="AF6" s="78">
        <f t="shared" si="2"/>
        <v>691.13</v>
      </c>
      <c r="AG6" s="34">
        <f t="shared" si="6"/>
        <v>20.88</v>
      </c>
      <c r="AH6" s="31">
        <v>4</v>
      </c>
      <c r="AI6" s="32"/>
      <c r="AJ6" s="79"/>
      <c r="AM6" s="31" t="s">
        <v>22</v>
      </c>
      <c r="AN6" s="78">
        <f>ROUND(AF6*1.0687,2)</f>
        <v>738.61</v>
      </c>
      <c r="AO6" s="88">
        <v>22.44</v>
      </c>
      <c r="AP6" s="31">
        <v>4</v>
      </c>
      <c r="AQ6" s="32"/>
      <c r="AR6" s="79"/>
      <c r="AU6" s="31" t="s">
        <v>22</v>
      </c>
      <c r="AV6" s="78">
        <f t="shared" si="3"/>
        <v>790.31</v>
      </c>
      <c r="AW6" s="88">
        <v>24.16</v>
      </c>
      <c r="AX6" s="31">
        <v>4</v>
      </c>
      <c r="AY6" s="32"/>
      <c r="AZ6" s="79"/>
    </row>
    <row r="7" spans="1:52" x14ac:dyDescent="0.35">
      <c r="A7" s="31" t="s">
        <v>23</v>
      </c>
      <c r="B7" s="31">
        <v>866.8</v>
      </c>
      <c r="C7" s="31">
        <v>33.04</v>
      </c>
      <c r="D7" s="31">
        <v>6</v>
      </c>
      <c r="E7" s="32"/>
      <c r="H7" s="31" t="s">
        <v>23</v>
      </c>
      <c r="I7" s="31">
        <f>+B7+15</f>
        <v>881.8</v>
      </c>
      <c r="J7" s="34">
        <f t="shared" si="4"/>
        <v>33.611758191047535</v>
      </c>
      <c r="K7" s="31">
        <v>6</v>
      </c>
      <c r="L7" s="32"/>
      <c r="M7" s="33">
        <f t="shared" si="0"/>
        <v>1.0173050299953854</v>
      </c>
      <c r="N7" s="82"/>
      <c r="O7" s="31" t="s">
        <v>23</v>
      </c>
      <c r="P7" s="31">
        <v>922.89</v>
      </c>
      <c r="Q7" s="34">
        <v>37.630000000000003</v>
      </c>
      <c r="R7" s="31">
        <v>6</v>
      </c>
      <c r="S7" s="32"/>
      <c r="T7" s="79"/>
      <c r="W7" s="31" t="s">
        <v>23</v>
      </c>
      <c r="X7" s="31">
        <f t="shared" si="1"/>
        <v>937.29</v>
      </c>
      <c r="Y7" s="34">
        <f t="shared" si="5"/>
        <v>38.25</v>
      </c>
      <c r="Z7" s="31">
        <v>6</v>
      </c>
      <c r="AA7" s="32"/>
      <c r="AB7" s="79"/>
      <c r="AE7" s="31" t="s">
        <v>23</v>
      </c>
      <c r="AF7" s="78">
        <f t="shared" si="2"/>
        <v>989.59</v>
      </c>
      <c r="AG7" s="34">
        <f t="shared" si="6"/>
        <v>40.49</v>
      </c>
      <c r="AH7" s="31">
        <v>6</v>
      </c>
      <c r="AI7" s="32"/>
      <c r="AJ7" s="79"/>
      <c r="AM7" s="31" t="s">
        <v>23</v>
      </c>
      <c r="AN7" s="78">
        <f>ROUND(AF7*1.0687,2)</f>
        <v>1057.57</v>
      </c>
      <c r="AO7" s="88">
        <v>43.5</v>
      </c>
      <c r="AP7" s="31">
        <v>6</v>
      </c>
      <c r="AQ7" s="32"/>
      <c r="AR7" s="79"/>
      <c r="AU7" s="31" t="s">
        <v>23</v>
      </c>
      <c r="AV7" s="78">
        <f t="shared" si="3"/>
        <v>1131.5999999999999</v>
      </c>
      <c r="AW7" s="88">
        <v>46.84</v>
      </c>
      <c r="AX7" s="31">
        <v>6</v>
      </c>
      <c r="AY7" s="32"/>
      <c r="AZ7" s="79"/>
    </row>
    <row r="8" spans="1:52" ht="15" thickBot="1" x14ac:dyDescent="0.4"/>
    <row r="9" spans="1:52" x14ac:dyDescent="0.35">
      <c r="A9" s="35" t="s">
        <v>24</v>
      </c>
      <c r="B9" s="36"/>
      <c r="C9" s="37"/>
      <c r="D9" s="37"/>
      <c r="E9" s="37"/>
      <c r="F9" s="38"/>
      <c r="H9" s="35" t="s">
        <v>24</v>
      </c>
      <c r="I9" s="2"/>
      <c r="J9" s="37"/>
      <c r="K9" s="37"/>
      <c r="L9" s="37"/>
      <c r="M9" s="38"/>
      <c r="O9" s="35" t="s">
        <v>24</v>
      </c>
      <c r="P9" s="2"/>
      <c r="Q9" s="37"/>
      <c r="R9" s="37"/>
      <c r="S9" s="37"/>
      <c r="T9" s="38"/>
      <c r="W9" s="35" t="s">
        <v>24</v>
      </c>
      <c r="X9" s="2"/>
      <c r="Y9" s="37"/>
      <c r="Z9" s="37"/>
      <c r="AA9" s="37"/>
      <c r="AB9" s="38"/>
      <c r="AE9" s="35" t="s">
        <v>24</v>
      </c>
      <c r="AF9" s="2"/>
      <c r="AG9" s="37"/>
      <c r="AH9" s="37"/>
      <c r="AI9" s="37"/>
      <c r="AJ9" s="38"/>
      <c r="AM9" s="35" t="s">
        <v>24</v>
      </c>
      <c r="AN9" s="2"/>
      <c r="AO9" s="37"/>
      <c r="AP9" s="37"/>
      <c r="AQ9" s="37"/>
      <c r="AR9" s="38"/>
      <c r="AU9" s="35" t="s">
        <v>24</v>
      </c>
      <c r="AV9" s="2"/>
      <c r="AW9" s="37"/>
      <c r="AX9" s="37"/>
      <c r="AY9" s="37"/>
      <c r="AZ9" s="38"/>
    </row>
    <row r="10" spans="1:52" x14ac:dyDescent="0.35">
      <c r="A10" s="39" t="s">
        <v>25</v>
      </c>
      <c r="B10" s="40" t="str">
        <f>P10</f>
        <v>Complex</v>
      </c>
      <c r="F10" s="41"/>
      <c r="H10" s="39" t="s">
        <v>25</v>
      </c>
      <c r="I10" s="5" t="str">
        <f>P10</f>
        <v>Complex</v>
      </c>
      <c r="M10" s="41"/>
      <c r="O10" s="39" t="s">
        <v>25</v>
      </c>
      <c r="P10" s="5" t="s">
        <v>23</v>
      </c>
      <c r="T10" s="41"/>
      <c r="W10" s="39" t="s">
        <v>25</v>
      </c>
      <c r="X10" s="5" t="s">
        <v>21</v>
      </c>
      <c r="AB10" s="41"/>
      <c r="AE10" s="39" t="s">
        <v>25</v>
      </c>
      <c r="AF10" s="5" t="s">
        <v>21</v>
      </c>
      <c r="AJ10" s="41"/>
      <c r="AM10" s="39" t="s">
        <v>25</v>
      </c>
      <c r="AN10" s="5" t="s">
        <v>21</v>
      </c>
      <c r="AR10" s="41"/>
      <c r="AU10" s="39" t="s">
        <v>25</v>
      </c>
      <c r="AV10" s="5"/>
      <c r="AZ10" s="41"/>
    </row>
    <row r="11" spans="1:52" x14ac:dyDescent="0.35">
      <c r="A11" s="39"/>
      <c r="F11" s="41"/>
      <c r="H11" s="39"/>
      <c r="M11" s="41"/>
      <c r="O11" s="39"/>
      <c r="T11" s="41"/>
      <c r="W11" s="39"/>
      <c r="AB11" s="41"/>
      <c r="AE11" s="39"/>
      <c r="AJ11" s="41"/>
      <c r="AM11" s="39"/>
      <c r="AR11" s="41"/>
      <c r="AU11" s="39"/>
      <c r="AZ11" s="41"/>
    </row>
    <row r="12" spans="1:52" x14ac:dyDescent="0.35">
      <c r="A12" s="42" t="s">
        <v>26</v>
      </c>
      <c r="B12" s="42"/>
      <c r="C12" s="42"/>
      <c r="D12" s="42"/>
      <c r="E12" s="42"/>
      <c r="F12" s="43">
        <f>VLOOKUP(B10,$A$3:$B$7,2,FALSE)</f>
        <v>866.8</v>
      </c>
      <c r="H12" s="42" t="s">
        <v>26</v>
      </c>
      <c r="I12" s="42"/>
      <c r="J12" s="42"/>
      <c r="K12" s="42"/>
      <c r="L12" s="42"/>
      <c r="M12" s="43">
        <f>VLOOKUP(I10,$H$3:$I$7,2,FALSE)</f>
        <v>881.8</v>
      </c>
      <c r="O12" s="42" t="s">
        <v>26</v>
      </c>
      <c r="P12" s="42"/>
      <c r="Q12" s="42"/>
      <c r="R12" s="42"/>
      <c r="S12" s="42"/>
      <c r="T12" s="61">
        <f>VLOOKUP(P10,$O$3:$Q$7,2,FALSE)</f>
        <v>922.89</v>
      </c>
      <c r="W12" s="42" t="s">
        <v>26</v>
      </c>
      <c r="X12" s="42"/>
      <c r="Y12" s="42"/>
      <c r="Z12" s="42"/>
      <c r="AA12" s="42"/>
      <c r="AB12" s="61">
        <f>VLOOKUP(X10,$W$3:$Y$7,2,FALSE)</f>
        <v>499.89</v>
      </c>
      <c r="AE12" s="42" t="s">
        <v>26</v>
      </c>
      <c r="AF12" s="42"/>
      <c r="AG12" s="42"/>
      <c r="AH12" s="42"/>
      <c r="AI12" s="42"/>
      <c r="AJ12" s="61">
        <f>VLOOKUP(AF10,$AE$3:$AG$7,2,FALSE)</f>
        <v>527.78</v>
      </c>
      <c r="AM12" s="42" t="s">
        <v>26</v>
      </c>
      <c r="AN12" s="42"/>
      <c r="AO12" s="42"/>
      <c r="AP12" s="42"/>
      <c r="AQ12" s="42"/>
      <c r="AR12" s="61">
        <f>VLOOKUP(AN10,$AM$3:$AO$7,2,FALSE)</f>
        <v>564.04</v>
      </c>
      <c r="AU12" s="42" t="s">
        <v>26</v>
      </c>
      <c r="AV12" s="42"/>
      <c r="AW12" s="42"/>
      <c r="AX12" s="42"/>
      <c r="AY12" s="42"/>
      <c r="AZ12" s="61" t="e">
        <f>VLOOKUP(AV10,$AU$3:$AW$7,2,FALSE)</f>
        <v>#N/A</v>
      </c>
    </row>
    <row r="13" spans="1:52" ht="29" x14ac:dyDescent="0.35">
      <c r="A13" s="42" t="s">
        <v>27</v>
      </c>
      <c r="B13" s="44"/>
      <c r="C13" s="44" t="s">
        <v>28</v>
      </c>
      <c r="D13" s="44" t="s">
        <v>29</v>
      </c>
      <c r="E13" s="44"/>
      <c r="F13" s="42"/>
      <c r="H13" s="42" t="s">
        <v>27</v>
      </c>
      <c r="I13" s="44"/>
      <c r="J13" s="44" t="s">
        <v>28</v>
      </c>
      <c r="K13" s="44" t="s">
        <v>29</v>
      </c>
      <c r="L13" s="44"/>
      <c r="M13" s="42"/>
      <c r="O13" s="42" t="s">
        <v>27</v>
      </c>
      <c r="P13" s="44"/>
      <c r="Q13" s="44" t="s">
        <v>28</v>
      </c>
      <c r="R13" s="44" t="s">
        <v>29</v>
      </c>
      <c r="S13" s="44"/>
      <c r="T13" s="42"/>
      <c r="W13" s="42" t="s">
        <v>27</v>
      </c>
      <c r="X13" s="44"/>
      <c r="Y13" s="44" t="s">
        <v>28</v>
      </c>
      <c r="Z13" s="44" t="s">
        <v>29</v>
      </c>
      <c r="AA13" s="44"/>
      <c r="AB13" s="42"/>
      <c r="AE13" s="42" t="s">
        <v>27</v>
      </c>
      <c r="AF13" s="44"/>
      <c r="AG13" s="44" t="s">
        <v>28</v>
      </c>
      <c r="AH13" s="44" t="s">
        <v>29</v>
      </c>
      <c r="AI13" s="44"/>
      <c r="AJ13" s="42"/>
      <c r="AM13" s="42" t="s">
        <v>27</v>
      </c>
      <c r="AN13" s="44"/>
      <c r="AO13" s="44" t="s">
        <v>28</v>
      </c>
      <c r="AP13" s="44" t="s">
        <v>29</v>
      </c>
      <c r="AQ13" s="44"/>
      <c r="AR13" s="42"/>
      <c r="AU13" s="42" t="s">
        <v>27</v>
      </c>
      <c r="AV13" s="44"/>
      <c r="AW13" s="44" t="s">
        <v>28</v>
      </c>
      <c r="AX13" s="44" t="s">
        <v>29</v>
      </c>
      <c r="AY13" s="44"/>
      <c r="AZ13" s="42"/>
    </row>
    <row r="14" spans="1:52" x14ac:dyDescent="0.35">
      <c r="A14" s="42" t="s">
        <v>30</v>
      </c>
      <c r="B14" s="42"/>
      <c r="C14" s="45">
        <f>J14</f>
        <v>0</v>
      </c>
      <c r="D14" s="46">
        <f>+VLOOKUP(B10,$A$3:$C$7,3,FALSE)</f>
        <v>33.04</v>
      </c>
      <c r="E14" s="9">
        <f>C14*D14</f>
        <v>0</v>
      </c>
      <c r="F14" s="42"/>
      <c r="H14" s="42" t="s">
        <v>30</v>
      </c>
      <c r="I14" s="42"/>
      <c r="J14" s="8"/>
      <c r="K14" s="46">
        <f>VLOOKUP(I10,$H$3:$J$7,3,FALSE)</f>
        <v>33.611758191047535</v>
      </c>
      <c r="L14" s="9">
        <f>J14*K14</f>
        <v>0</v>
      </c>
      <c r="M14" s="42"/>
      <c r="O14" s="42" t="s">
        <v>30</v>
      </c>
      <c r="P14" s="42"/>
      <c r="Q14" s="8">
        <v>10</v>
      </c>
      <c r="R14" s="46">
        <f>VLOOKUP(P10,$O$3:$Q$7,3,FALSE)</f>
        <v>37.630000000000003</v>
      </c>
      <c r="S14" s="9">
        <f>Q14*R14</f>
        <v>376.3</v>
      </c>
      <c r="T14" s="42"/>
      <c r="W14" s="42" t="s">
        <v>30</v>
      </c>
      <c r="X14" s="42"/>
      <c r="Y14" s="8">
        <v>10</v>
      </c>
      <c r="Z14" s="46">
        <f>VLOOKUP(X10,$W$3:$Y$7,3,FALSE)</f>
        <v>13.97</v>
      </c>
      <c r="AA14" s="9">
        <f>Y14*Z14</f>
        <v>139.70000000000002</v>
      </c>
      <c r="AB14" s="42"/>
      <c r="AE14" s="42" t="s">
        <v>30</v>
      </c>
      <c r="AF14" s="42"/>
      <c r="AG14" s="8">
        <v>10</v>
      </c>
      <c r="AH14" s="46">
        <f>VLOOKUP(AF10,$AE$3:$AG$7,3,FALSE)</f>
        <v>14.79</v>
      </c>
      <c r="AI14" s="9">
        <f>AG14*AH14</f>
        <v>147.89999999999998</v>
      </c>
      <c r="AJ14" s="42"/>
      <c r="AM14" s="42" t="s">
        <v>30</v>
      </c>
      <c r="AN14" s="42"/>
      <c r="AO14" s="8">
        <v>10</v>
      </c>
      <c r="AP14" s="46">
        <f>VLOOKUP(AN10,$AM$3:$AO$7,3,FALSE)</f>
        <v>15.89</v>
      </c>
      <c r="AQ14" s="9">
        <f>AO14*AP14</f>
        <v>158.9</v>
      </c>
      <c r="AR14" s="42"/>
      <c r="AU14" s="42" t="s">
        <v>30</v>
      </c>
      <c r="AV14" s="42"/>
      <c r="AW14" s="8"/>
      <c r="AX14" s="46"/>
      <c r="AY14" s="9">
        <f>AW14*AX14</f>
        <v>0</v>
      </c>
      <c r="AZ14" s="42"/>
    </row>
    <row r="15" spans="1:52" ht="72.5" x14ac:dyDescent="0.35">
      <c r="A15" s="44" t="s">
        <v>31</v>
      </c>
      <c r="B15" s="42"/>
      <c r="C15" s="45">
        <f>+J15</f>
        <v>0</v>
      </c>
      <c r="D15" s="10">
        <f>F12-(F19+E14+F20)</f>
        <v>810.8</v>
      </c>
      <c r="E15" s="9">
        <f>(C15*D15)/52</f>
        <v>0</v>
      </c>
      <c r="F15" s="42"/>
      <c r="H15" s="44" t="s">
        <v>31</v>
      </c>
      <c r="I15" s="42"/>
      <c r="J15" s="8">
        <v>0</v>
      </c>
      <c r="K15" s="10">
        <f>M12-(M19+L14+M20)</f>
        <v>818.8</v>
      </c>
      <c r="L15" s="9">
        <f>(J15*K15)/52</f>
        <v>0</v>
      </c>
      <c r="M15" s="42"/>
      <c r="O15" s="44" t="s">
        <v>31</v>
      </c>
      <c r="P15" s="42"/>
      <c r="Q15" s="8">
        <v>0</v>
      </c>
      <c r="R15" s="10">
        <f>T12-(T19+S14+T20)</f>
        <v>482.53999999999996</v>
      </c>
      <c r="S15" s="9">
        <f>(Q15*R15)/52</f>
        <v>0</v>
      </c>
      <c r="T15" s="42"/>
      <c r="W15" s="44" t="s">
        <v>31</v>
      </c>
      <c r="X15" s="42"/>
      <c r="Y15" s="8">
        <v>0</v>
      </c>
      <c r="Z15" s="10">
        <f>AB12-(AB19+AA14+AB20)</f>
        <v>295.78999999999996</v>
      </c>
      <c r="AA15" s="9">
        <f>(Y15*Z15)/52</f>
        <v>0</v>
      </c>
      <c r="AB15" s="42"/>
      <c r="AE15" s="44" t="s">
        <v>31</v>
      </c>
      <c r="AF15" s="42"/>
      <c r="AG15" s="8">
        <v>0</v>
      </c>
      <c r="AH15" s="10">
        <f>AJ12-(AJ19+AI14+AJ20)</f>
        <v>313.38</v>
      </c>
      <c r="AI15" s="9">
        <f>(AG15*AH15)/52</f>
        <v>0</v>
      </c>
      <c r="AJ15" s="42"/>
      <c r="AM15" s="44" t="s">
        <v>31</v>
      </c>
      <c r="AN15" s="42"/>
      <c r="AO15" s="8">
        <v>0</v>
      </c>
      <c r="AP15" s="10">
        <f>AR12-(AR19+AQ14+AR20)</f>
        <v>331.64</v>
      </c>
      <c r="AQ15" s="9">
        <f>(AO15*AP15)/52</f>
        <v>0</v>
      </c>
      <c r="AR15" s="42"/>
      <c r="AU15" s="44" t="s">
        <v>31</v>
      </c>
      <c r="AV15" s="42"/>
      <c r="AW15" s="8">
        <v>0</v>
      </c>
      <c r="AX15" s="10" t="e">
        <f>AZ12-(AZ19+AY14+AZ20)</f>
        <v>#N/A</v>
      </c>
      <c r="AY15" s="9" t="e">
        <f>(AW15*AX15)/52</f>
        <v>#N/A</v>
      </c>
      <c r="AZ15" s="42"/>
    </row>
    <row r="16" spans="1:52" x14ac:dyDescent="0.35">
      <c r="A16" s="42"/>
      <c r="B16" s="42"/>
      <c r="C16" s="42"/>
      <c r="D16" s="9"/>
      <c r="E16" s="9">
        <f>E14+E15</f>
        <v>0</v>
      </c>
      <c r="F16" s="42"/>
      <c r="H16" s="42"/>
      <c r="I16" s="42"/>
      <c r="J16" s="42"/>
      <c r="K16" s="9"/>
      <c r="L16" s="9">
        <f>L14+L15</f>
        <v>0</v>
      </c>
      <c r="M16" s="42"/>
      <c r="O16" s="42"/>
      <c r="P16" s="42"/>
      <c r="Q16" s="42"/>
      <c r="R16" s="9"/>
      <c r="S16" s="9">
        <f>S14+S15</f>
        <v>376.3</v>
      </c>
      <c r="T16" s="42"/>
      <c r="W16" s="42"/>
      <c r="X16" s="42"/>
      <c r="Y16" s="42"/>
      <c r="Z16" s="9"/>
      <c r="AA16" s="9">
        <f>AA14+AA15</f>
        <v>139.70000000000002</v>
      </c>
      <c r="AB16" s="42"/>
      <c r="AE16" s="42"/>
      <c r="AF16" s="42"/>
      <c r="AG16" s="42"/>
      <c r="AH16" s="9"/>
      <c r="AI16" s="9">
        <f>AI14+AI15</f>
        <v>147.89999999999998</v>
      </c>
      <c r="AJ16" s="42"/>
      <c r="AM16" s="42"/>
      <c r="AN16" s="42"/>
      <c r="AO16" s="42"/>
      <c r="AP16" s="9"/>
      <c r="AQ16" s="9">
        <f>AQ14+AQ15</f>
        <v>158.9</v>
      </c>
      <c r="AR16" s="42"/>
      <c r="AU16" s="42"/>
      <c r="AV16" s="42"/>
      <c r="AW16" s="42"/>
      <c r="AX16" s="9"/>
      <c r="AY16" s="9" t="e">
        <f>AY14+AY15</f>
        <v>#N/A</v>
      </c>
      <c r="AZ16" s="42"/>
    </row>
    <row r="17" spans="1:52" s="47" customFormat="1" ht="18.5" x14ac:dyDescent="0.45">
      <c r="A17" s="104" t="s">
        <v>32</v>
      </c>
      <c r="B17" s="104"/>
      <c r="F17" s="11">
        <f>F12-E16</f>
        <v>866.8</v>
      </c>
      <c r="H17" s="104" t="s">
        <v>32</v>
      </c>
      <c r="I17" s="104"/>
      <c r="M17" s="11">
        <f>M12-L16</f>
        <v>881.8</v>
      </c>
      <c r="O17" s="104" t="s">
        <v>32</v>
      </c>
      <c r="P17" s="104"/>
      <c r="T17" s="11">
        <f>T12-S16</f>
        <v>546.58999999999992</v>
      </c>
      <c r="W17" s="104" t="s">
        <v>32</v>
      </c>
      <c r="X17" s="104"/>
      <c r="AB17" s="11">
        <f>AB12-AA16</f>
        <v>360.18999999999994</v>
      </c>
      <c r="AE17" s="104" t="s">
        <v>32</v>
      </c>
      <c r="AF17" s="104"/>
      <c r="AJ17" s="11">
        <f>AJ12-AI16</f>
        <v>379.88</v>
      </c>
      <c r="AM17" s="104" t="s">
        <v>32</v>
      </c>
      <c r="AN17" s="104"/>
      <c r="AR17" s="11">
        <f>AR12-AQ16</f>
        <v>405.14</v>
      </c>
      <c r="AU17" s="104" t="s">
        <v>32</v>
      </c>
      <c r="AV17" s="104"/>
      <c r="AZ17" s="11" t="e">
        <f>AZ12-AY16</f>
        <v>#N/A</v>
      </c>
    </row>
    <row r="18" spans="1:52" x14ac:dyDescent="0.35">
      <c r="A18" s="105" t="s">
        <v>33</v>
      </c>
      <c r="B18" s="105"/>
      <c r="F18" s="41"/>
      <c r="H18" s="105" t="s">
        <v>33</v>
      </c>
      <c r="I18" s="105"/>
      <c r="M18" s="41"/>
      <c r="O18" s="105" t="s">
        <v>33</v>
      </c>
      <c r="P18" s="105"/>
      <c r="T18" s="41"/>
      <c r="W18" s="105" t="s">
        <v>33</v>
      </c>
      <c r="X18" s="105"/>
      <c r="AB18" s="41"/>
      <c r="AE18" s="105" t="s">
        <v>33</v>
      </c>
      <c r="AF18" s="105"/>
      <c r="AJ18" s="41"/>
      <c r="AM18" s="105" t="s">
        <v>33</v>
      </c>
      <c r="AN18" s="105"/>
      <c r="AR18" s="41"/>
      <c r="AU18" s="105" t="s">
        <v>33</v>
      </c>
      <c r="AV18" s="105"/>
      <c r="AZ18" s="41"/>
    </row>
    <row r="19" spans="1:52" x14ac:dyDescent="0.35">
      <c r="A19" s="105" t="s">
        <v>34</v>
      </c>
      <c r="B19" s="105"/>
      <c r="F19" s="45">
        <f>8*7</f>
        <v>56</v>
      </c>
      <c r="H19" s="105" t="s">
        <v>34</v>
      </c>
      <c r="I19" s="105"/>
      <c r="M19" s="8">
        <f>9*7</f>
        <v>63</v>
      </c>
      <c r="O19" s="105" t="s">
        <v>34</v>
      </c>
      <c r="P19" s="105"/>
      <c r="T19" s="8">
        <v>64.05</v>
      </c>
      <c r="W19" s="105" t="s">
        <v>34</v>
      </c>
      <c r="X19" s="105"/>
      <c r="AB19" s="8">
        <v>64.400000000000006</v>
      </c>
      <c r="AC19" t="s">
        <v>35</v>
      </c>
      <c r="AE19" s="105" t="s">
        <v>34</v>
      </c>
      <c r="AF19" s="105"/>
      <c r="AJ19" s="8">
        <f>9.5*7</f>
        <v>66.5</v>
      </c>
      <c r="AM19" s="105" t="s">
        <v>34</v>
      </c>
      <c r="AN19" s="105"/>
      <c r="AR19" s="8">
        <f>10.5*7</f>
        <v>73.5</v>
      </c>
      <c r="AU19" s="105" t="s">
        <v>34</v>
      </c>
      <c r="AV19" s="105"/>
      <c r="AZ19" s="8">
        <v>78.400000000000006</v>
      </c>
    </row>
    <row r="20" spans="1:52" x14ac:dyDescent="0.35">
      <c r="A20" s="105"/>
      <c r="B20" s="105"/>
      <c r="F20" s="45"/>
      <c r="H20" s="105"/>
      <c r="I20" s="105"/>
      <c r="M20" s="8"/>
      <c r="O20" s="105"/>
      <c r="P20" s="105"/>
      <c r="T20" s="8"/>
      <c r="W20" s="105"/>
      <c r="X20" s="105"/>
      <c r="AB20" s="8"/>
      <c r="AE20" s="105"/>
      <c r="AF20" s="105"/>
      <c r="AJ20" s="8"/>
      <c r="AM20" s="105"/>
      <c r="AN20" s="105"/>
      <c r="AR20" s="8"/>
      <c r="AU20" s="105" t="s">
        <v>36</v>
      </c>
      <c r="AV20" s="105"/>
      <c r="AZ20" s="8">
        <v>70</v>
      </c>
    </row>
    <row r="21" spans="1:52" ht="18.5" x14ac:dyDescent="0.45">
      <c r="A21" s="100" t="s">
        <v>37</v>
      </c>
      <c r="B21" s="100"/>
      <c r="C21" s="48"/>
      <c r="D21" s="48"/>
      <c r="E21" s="48"/>
      <c r="F21" s="11">
        <f>F17-(F19+F20)</f>
        <v>810.8</v>
      </c>
      <c r="H21" s="100" t="s">
        <v>37</v>
      </c>
      <c r="I21" s="100"/>
      <c r="J21" s="48"/>
      <c r="K21" s="48"/>
      <c r="L21" s="48"/>
      <c r="M21" s="11">
        <f>M17-(M19+M20)</f>
        <v>818.8</v>
      </c>
      <c r="O21" s="100" t="s">
        <v>37</v>
      </c>
      <c r="P21" s="100"/>
      <c r="Q21" s="48"/>
      <c r="R21" s="48"/>
      <c r="S21" s="48"/>
      <c r="T21" s="11">
        <f>T17-(T19+T20)</f>
        <v>482.53999999999991</v>
      </c>
      <c r="W21" s="100" t="s">
        <v>37</v>
      </c>
      <c r="X21" s="100"/>
      <c r="Y21" s="48"/>
      <c r="Z21" s="48"/>
      <c r="AA21" s="48"/>
      <c r="AB21" s="11">
        <f>AB17-(AB19+AB20)</f>
        <v>295.78999999999996</v>
      </c>
      <c r="AE21" s="100" t="s">
        <v>37</v>
      </c>
      <c r="AF21" s="100"/>
      <c r="AG21" s="48"/>
      <c r="AH21" s="48"/>
      <c r="AI21" s="48"/>
      <c r="AJ21" s="11">
        <f>AJ17-(AJ19+AJ20)</f>
        <v>313.38</v>
      </c>
      <c r="AM21" s="100" t="s">
        <v>37</v>
      </c>
      <c r="AN21" s="100"/>
      <c r="AO21" s="48"/>
      <c r="AP21" s="48"/>
      <c r="AQ21" s="48"/>
      <c r="AR21" s="11">
        <f>AR17-(AR19+AR20)</f>
        <v>331.64</v>
      </c>
      <c r="AU21" s="100" t="s">
        <v>37</v>
      </c>
      <c r="AV21" s="100"/>
      <c r="AW21" s="48"/>
      <c r="AX21" s="48"/>
      <c r="AY21" s="48"/>
      <c r="AZ21" s="11" t="e">
        <f>AZ17-(AZ19+AZ20)</f>
        <v>#N/A</v>
      </c>
    </row>
    <row r="22" spans="1:52" ht="16" thickBot="1" x14ac:dyDescent="0.4">
      <c r="A22" s="49"/>
      <c r="B22" s="50"/>
      <c r="C22" s="50"/>
      <c r="D22" s="50"/>
      <c r="E22" s="50"/>
      <c r="F22" s="12">
        <f>F19+F20+F21</f>
        <v>866.8</v>
      </c>
      <c r="H22" s="49"/>
      <c r="I22" s="50"/>
      <c r="J22" s="50"/>
      <c r="K22" s="50"/>
      <c r="L22" s="50"/>
      <c r="M22" s="12">
        <f>M19+M20+M21</f>
        <v>881.8</v>
      </c>
      <c r="O22" s="49"/>
      <c r="P22" s="50"/>
      <c r="Q22" s="50"/>
      <c r="R22" s="50"/>
      <c r="S22" s="50"/>
      <c r="T22" s="12">
        <f>T19+T20+T21</f>
        <v>546.58999999999992</v>
      </c>
      <c r="W22" s="49"/>
      <c r="X22" s="50"/>
      <c r="Y22" s="50"/>
      <c r="Z22" s="50"/>
      <c r="AA22" s="50"/>
      <c r="AB22" s="12">
        <f>AB19+AB20+AB21</f>
        <v>360.18999999999994</v>
      </c>
      <c r="AE22" s="49"/>
      <c r="AF22" s="50"/>
      <c r="AG22" s="50"/>
      <c r="AH22" s="50"/>
      <c r="AI22" s="50"/>
      <c r="AJ22" s="12">
        <f>AJ19+AJ20+AJ21</f>
        <v>379.88</v>
      </c>
      <c r="AM22" s="49"/>
      <c r="AN22" s="50"/>
      <c r="AO22" s="50"/>
      <c r="AP22" s="50"/>
      <c r="AQ22" s="50"/>
      <c r="AR22" s="12">
        <f>AR19+AR20+AR21</f>
        <v>405.14</v>
      </c>
      <c r="AU22" s="49"/>
      <c r="AV22" s="50"/>
      <c r="AW22" s="50"/>
      <c r="AX22" s="50"/>
      <c r="AY22" s="50"/>
      <c r="AZ22" s="12"/>
    </row>
    <row r="24" spans="1:52" s="51" customFormat="1" x14ac:dyDescent="0.35">
      <c r="H24" s="51" t="s">
        <v>38</v>
      </c>
      <c r="M24" s="52">
        <f>+M17-$F17</f>
        <v>15</v>
      </c>
      <c r="T24" s="52"/>
      <c r="AB24" s="52"/>
      <c r="AJ24" s="52"/>
      <c r="AR24" s="52"/>
      <c r="AZ24" s="52"/>
    </row>
    <row r="25" spans="1:52" s="51" customFormat="1" x14ac:dyDescent="0.35">
      <c r="H25" s="51" t="s">
        <v>39</v>
      </c>
      <c r="M25" s="52">
        <f>+M21-$F21</f>
        <v>8</v>
      </c>
      <c r="T25" s="52"/>
      <c r="AB25" s="52"/>
      <c r="AE25" s="84" t="s">
        <v>40</v>
      </c>
      <c r="AJ25" s="52"/>
      <c r="AR25" s="52"/>
      <c r="AZ25" s="52"/>
    </row>
    <row r="27" spans="1:52" x14ac:dyDescent="0.35">
      <c r="P27" s="51"/>
      <c r="Q27" s="51"/>
      <c r="R27" s="51"/>
      <c r="S27" s="51"/>
      <c r="T27" s="52"/>
      <c r="X27" s="51"/>
      <c r="Y27" s="51"/>
      <c r="Z27" s="51"/>
      <c r="AA27" s="51"/>
      <c r="AB27" s="52"/>
      <c r="AE27" t="s">
        <v>41</v>
      </c>
      <c r="AF27" s="86" t="s">
        <v>42</v>
      </c>
      <c r="AG27" s="86" t="s">
        <v>43</v>
      </c>
      <c r="AH27" s="51"/>
      <c r="AI27" s="51"/>
      <c r="AJ27" s="52"/>
      <c r="AN27" s="51"/>
      <c r="AO27" s="51"/>
      <c r="AP27" s="51"/>
      <c r="AQ27" s="51"/>
      <c r="AR27" s="52"/>
      <c r="AV27" s="51"/>
      <c r="AW27" s="51"/>
      <c r="AX27" s="51"/>
      <c r="AY27" s="51"/>
      <c r="AZ27" s="52"/>
    </row>
    <row r="28" spans="1:52" x14ac:dyDescent="0.35">
      <c r="P28" s="51"/>
      <c r="Q28" s="51"/>
      <c r="R28" s="51"/>
      <c r="S28" s="51"/>
      <c r="T28" s="52"/>
      <c r="X28" s="51"/>
      <c r="Y28" s="51"/>
      <c r="Z28" s="51"/>
      <c r="AA28" s="51"/>
      <c r="AB28" s="52"/>
      <c r="AE28" t="s">
        <v>44</v>
      </c>
      <c r="AF28" s="86"/>
      <c r="AG28" s="86"/>
      <c r="AH28" s="51"/>
      <c r="AI28" s="51"/>
      <c r="AJ28" s="52"/>
      <c r="AN28" s="51"/>
      <c r="AO28" s="51"/>
      <c r="AP28" s="51"/>
      <c r="AQ28" s="51"/>
      <c r="AR28" s="52"/>
      <c r="AV28" s="51"/>
      <c r="AW28" s="51"/>
      <c r="AX28" s="51"/>
      <c r="AY28" s="51"/>
      <c r="AZ28" s="52"/>
    </row>
    <row r="29" spans="1:52" x14ac:dyDescent="0.35">
      <c r="AE29" t="s">
        <v>45</v>
      </c>
      <c r="AF29" s="87">
        <v>265.31</v>
      </c>
      <c r="AG29" s="87">
        <v>292.11</v>
      </c>
      <c r="AH29" s="79">
        <f>(AG29-AF29)/AF29</f>
        <v>0.10101390825826397</v>
      </c>
    </row>
    <row r="30" spans="1:52" x14ac:dyDescent="0.35">
      <c r="AE30" t="s">
        <v>46</v>
      </c>
      <c r="AF30" s="85">
        <v>334.91</v>
      </c>
      <c r="AG30" s="85">
        <v>368.74</v>
      </c>
      <c r="AH30" s="79">
        <f>(AG30-AF30)/AF30</f>
        <v>0.10101221223612308</v>
      </c>
    </row>
    <row r="32" spans="1:52" x14ac:dyDescent="0.35">
      <c r="AE32" t="s">
        <v>47</v>
      </c>
      <c r="AF32" s="85">
        <v>9.5</v>
      </c>
      <c r="AG32">
        <f>+AF32*(1+AH30)</f>
        <v>10.459616016243169</v>
      </c>
    </row>
  </sheetData>
  <sheetProtection selectLockedCells="1"/>
  <mergeCells count="42">
    <mergeCell ref="AU21:AV21"/>
    <mergeCell ref="AU1:AZ1"/>
    <mergeCell ref="AU17:AV17"/>
    <mergeCell ref="AU18:AV18"/>
    <mergeCell ref="AU19:AV19"/>
    <mergeCell ref="AU20:AV20"/>
    <mergeCell ref="AM21:AN21"/>
    <mergeCell ref="AM1:AR1"/>
    <mergeCell ref="AM17:AN17"/>
    <mergeCell ref="AM18:AN18"/>
    <mergeCell ref="AM19:AN19"/>
    <mergeCell ref="AM20:AN20"/>
    <mergeCell ref="W21:X21"/>
    <mergeCell ref="W1:AB1"/>
    <mergeCell ref="W17:X17"/>
    <mergeCell ref="W18:X18"/>
    <mergeCell ref="W19:X19"/>
    <mergeCell ref="W20:X20"/>
    <mergeCell ref="O21:P21"/>
    <mergeCell ref="O1:T1"/>
    <mergeCell ref="O17:P17"/>
    <mergeCell ref="O18:P18"/>
    <mergeCell ref="O19:P19"/>
    <mergeCell ref="O20:P20"/>
    <mergeCell ref="A1:F1"/>
    <mergeCell ref="H1:M1"/>
    <mergeCell ref="H17:I17"/>
    <mergeCell ref="H18:I18"/>
    <mergeCell ref="H19:I19"/>
    <mergeCell ref="H20:I20"/>
    <mergeCell ref="H21:I21"/>
    <mergeCell ref="A17:B17"/>
    <mergeCell ref="A18:B18"/>
    <mergeCell ref="A19:B19"/>
    <mergeCell ref="A20:B20"/>
    <mergeCell ref="A21:B21"/>
    <mergeCell ref="AE21:AF21"/>
    <mergeCell ref="AE1:AJ1"/>
    <mergeCell ref="AE17:AF17"/>
    <mergeCell ref="AE18:AF18"/>
    <mergeCell ref="AE19:AF19"/>
    <mergeCell ref="AE20:AF20"/>
  </mergeCells>
  <dataValidations count="2">
    <dataValidation type="list" allowBlank="1" showInputMessage="1" showErrorMessage="1" sqref="B10" xr:uid="{93E6DA36-D00D-4AF7-A8ED-84BC28E4DC56}">
      <formula1>$A$3:$A$7</formula1>
    </dataValidation>
    <dataValidation type="list" allowBlank="1" showInputMessage="1" showErrorMessage="1" sqref="I10 P10 X10 AF10 AN10 AV10" xr:uid="{0F6C7E8E-8BD0-469D-9FDD-85CF071F0C62}">
      <formula1>$H$3:$H$7</formula1>
    </dataValidation>
  </dataValidations>
  <hyperlinks>
    <hyperlink ref="AE25" r:id="rId1" display="https://assets.publishing.service.gov.uk/government/uploads/system/uploads/attachment_data/file/1119548/benefit-and-pensions-rates-2023-2024.pdf" xr:uid="{31AD6302-2EB8-40CF-92EB-9DD9AFD89742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9"/>
  <sheetViews>
    <sheetView tabSelected="1" topLeftCell="AM1" workbookViewId="0">
      <selection activeCell="AV17" sqref="AV17"/>
    </sheetView>
  </sheetViews>
  <sheetFormatPr defaultColWidth="9.1796875" defaultRowHeight="14.5" outlineLevelCol="1" x14ac:dyDescent="0.35"/>
  <cols>
    <col min="1" max="1" width="20.1796875" hidden="1" customWidth="1" outlineLevel="1"/>
    <col min="2" max="2" width="18.54296875" hidden="1" customWidth="1" outlineLevel="1"/>
    <col min="3" max="3" width="15.54296875" hidden="1" customWidth="1" outlineLevel="1"/>
    <col min="4" max="5" width="13" hidden="1" customWidth="1" outlineLevel="1"/>
    <col min="6" max="6" width="10.54296875" hidden="1" customWidth="1" outlineLevel="1"/>
    <col min="7" max="7" width="21.81640625" hidden="1" customWidth="1" outlineLevel="1"/>
    <col min="8" max="8" width="16.54296875" hidden="1" customWidth="1" outlineLevel="1"/>
    <col min="9" max="9" width="14.81640625" hidden="1" customWidth="1" outlineLevel="1"/>
    <col min="10" max="10" width="13.1796875" hidden="1" customWidth="1" outlineLevel="1"/>
    <col min="11" max="11" width="13.453125" hidden="1" customWidth="1" outlineLevel="1"/>
    <col min="12" max="12" width="9.1796875" hidden="1" customWidth="1" outlineLevel="1"/>
    <col min="13" max="13" width="21.81640625" hidden="1" customWidth="1" outlineLevel="1"/>
    <col min="14" max="14" width="16.54296875" hidden="1" customWidth="1" outlineLevel="1"/>
    <col min="15" max="15" width="14.81640625" hidden="1" customWidth="1" outlineLevel="1"/>
    <col min="16" max="16" width="13.1796875" hidden="1" customWidth="1" outlineLevel="1"/>
    <col min="17" max="17" width="13.453125" hidden="1" customWidth="1" outlineLevel="1"/>
    <col min="18" max="18" width="9.1796875" hidden="1" customWidth="1" outlineLevel="1"/>
    <col min="19" max="19" width="21.81640625" hidden="1" customWidth="1" outlineLevel="1"/>
    <col min="20" max="20" width="16.54296875" hidden="1" customWidth="1" outlineLevel="1"/>
    <col min="21" max="21" width="14.81640625" hidden="1" customWidth="1" outlineLevel="1"/>
    <col min="22" max="22" width="13.1796875" hidden="1" customWidth="1" outlineLevel="1"/>
    <col min="23" max="23" width="13.453125" hidden="1" customWidth="1" outlineLevel="1"/>
    <col min="24" max="25" width="9.1796875" hidden="1" customWidth="1" outlineLevel="1"/>
    <col min="26" max="26" width="21.81640625" hidden="1" customWidth="1" outlineLevel="1"/>
    <col min="27" max="27" width="16.54296875" hidden="1" customWidth="1" outlineLevel="1"/>
    <col min="28" max="28" width="14.81640625" hidden="1" customWidth="1" outlineLevel="1"/>
    <col min="29" max="29" width="13.1796875" hidden="1" customWidth="1" outlineLevel="1"/>
    <col min="30" max="30" width="13.453125" hidden="1" customWidth="1" outlineLevel="1"/>
    <col min="31" max="31" width="9.1796875" hidden="1" customWidth="1" outlineLevel="1"/>
    <col min="32" max="32" width="0" hidden="1" customWidth="1" outlineLevel="1"/>
    <col min="33" max="33" width="21.81640625" hidden="1" customWidth="1" outlineLevel="1" collapsed="1"/>
    <col min="34" max="34" width="16.54296875" hidden="1" customWidth="1" outlineLevel="1"/>
    <col min="35" max="35" width="14.81640625" hidden="1" customWidth="1" outlineLevel="1"/>
    <col min="36" max="36" width="13.1796875" hidden="1" customWidth="1" outlineLevel="1"/>
    <col min="37" max="37" width="13.453125" hidden="1" customWidth="1" outlineLevel="1"/>
    <col min="38" max="38" width="0" hidden="1" customWidth="1" outlineLevel="1"/>
    <col min="39" max="39" width="9.1796875" collapsed="1"/>
    <col min="40" max="40" width="21.81640625" customWidth="1" collapsed="1"/>
    <col min="41" max="41" width="16.54296875" customWidth="1"/>
    <col min="42" max="42" width="14.81640625" customWidth="1"/>
    <col min="43" max="43" width="13.1796875" customWidth="1"/>
    <col min="44" max="44" width="13.453125" customWidth="1"/>
  </cols>
  <sheetData>
    <row r="1" spans="1:45" ht="15" thickBot="1" x14ac:dyDescent="0.4">
      <c r="A1" s="53" t="s">
        <v>48</v>
      </c>
      <c r="G1" s="53" t="s">
        <v>48</v>
      </c>
      <c r="M1" s="53" t="s">
        <v>48</v>
      </c>
      <c r="S1" s="53" t="s">
        <v>48</v>
      </c>
      <c r="Z1" s="53" t="s">
        <v>48</v>
      </c>
      <c r="AG1" s="53" t="s">
        <v>48</v>
      </c>
      <c r="AN1" s="53" t="s">
        <v>48</v>
      </c>
    </row>
    <row r="2" spans="1:45" ht="15" thickBot="1" x14ac:dyDescent="0.4">
      <c r="A2" s="101" t="s">
        <v>49</v>
      </c>
      <c r="B2" s="102"/>
      <c r="C2" s="102"/>
      <c r="D2" s="102"/>
      <c r="E2" s="103"/>
      <c r="G2" s="101" t="s">
        <v>50</v>
      </c>
      <c r="H2" s="102"/>
      <c r="I2" s="102"/>
      <c r="J2" s="102"/>
      <c r="K2" s="103"/>
      <c r="M2" s="101" t="s">
        <v>51</v>
      </c>
      <c r="N2" s="102"/>
      <c r="O2" s="102"/>
      <c r="P2" s="102"/>
      <c r="Q2" s="103"/>
      <c r="S2" s="101" t="s">
        <v>52</v>
      </c>
      <c r="T2" s="102"/>
      <c r="U2" s="102"/>
      <c r="V2" s="102"/>
      <c r="W2" s="103"/>
      <c r="Z2" s="101" t="s">
        <v>53</v>
      </c>
      <c r="AA2" s="102"/>
      <c r="AB2" s="102"/>
      <c r="AC2" s="102"/>
      <c r="AD2" s="103"/>
      <c r="AG2" s="101" t="s">
        <v>54</v>
      </c>
      <c r="AH2" s="102"/>
      <c r="AI2" s="102"/>
      <c r="AJ2" s="102"/>
      <c r="AK2" s="103"/>
      <c r="AN2" s="101" t="s">
        <v>55</v>
      </c>
      <c r="AO2" s="102"/>
      <c r="AP2" s="102"/>
      <c r="AQ2" s="102"/>
      <c r="AR2" s="103"/>
    </row>
    <row r="3" spans="1:45" ht="39.5" x14ac:dyDescent="0.35">
      <c r="A3" s="54" t="s">
        <v>7</v>
      </c>
      <c r="B3" s="54" t="s">
        <v>56</v>
      </c>
      <c r="C3" s="54" t="s">
        <v>57</v>
      </c>
      <c r="D3" s="54" t="s">
        <v>58</v>
      </c>
      <c r="E3" s="29" t="s">
        <v>59</v>
      </c>
      <c r="G3" s="54" t="s">
        <v>7</v>
      </c>
      <c r="H3" s="54" t="s">
        <v>56</v>
      </c>
      <c r="I3" s="54" t="s">
        <v>57</v>
      </c>
      <c r="J3" s="54" t="s">
        <v>58</v>
      </c>
      <c r="K3" s="29" t="s">
        <v>59</v>
      </c>
      <c r="M3" s="54" t="s">
        <v>7</v>
      </c>
      <c r="N3" s="54" t="s">
        <v>56</v>
      </c>
      <c r="O3" s="54" t="s">
        <v>57</v>
      </c>
      <c r="P3" s="54" t="s">
        <v>58</v>
      </c>
      <c r="Q3" s="29" t="s">
        <v>59</v>
      </c>
      <c r="S3" s="54" t="s">
        <v>7</v>
      </c>
      <c r="T3" s="54" t="s">
        <v>56</v>
      </c>
      <c r="U3" s="54" t="s">
        <v>57</v>
      </c>
      <c r="V3" s="54" t="s">
        <v>58</v>
      </c>
      <c r="W3" s="29" t="s">
        <v>59</v>
      </c>
      <c r="Z3" s="54" t="s">
        <v>7</v>
      </c>
      <c r="AA3" s="54" t="s">
        <v>56</v>
      </c>
      <c r="AB3" s="54" t="s">
        <v>57</v>
      </c>
      <c r="AC3" s="54" t="s">
        <v>58</v>
      </c>
      <c r="AD3" s="29" t="s">
        <v>59</v>
      </c>
      <c r="AG3" s="54" t="s">
        <v>7</v>
      </c>
      <c r="AH3" s="54" t="s">
        <v>56</v>
      </c>
      <c r="AI3" s="54" t="s">
        <v>57</v>
      </c>
      <c r="AJ3" s="54" t="s">
        <v>58</v>
      </c>
      <c r="AK3" s="29" t="s">
        <v>59</v>
      </c>
      <c r="AN3" s="54" t="s">
        <v>7</v>
      </c>
      <c r="AO3" s="54" t="s">
        <v>56</v>
      </c>
      <c r="AP3" s="54" t="s">
        <v>57</v>
      </c>
      <c r="AQ3" s="54" t="s">
        <v>58</v>
      </c>
      <c r="AR3" s="29" t="s">
        <v>59</v>
      </c>
    </row>
    <row r="4" spans="1:45" x14ac:dyDescent="0.35">
      <c r="A4" s="42" t="s">
        <v>19</v>
      </c>
      <c r="B4" s="55">
        <v>46.12</v>
      </c>
      <c r="C4" s="55">
        <v>29.71</v>
      </c>
      <c r="D4" s="55">
        <v>16.420000000000002</v>
      </c>
      <c r="E4" s="31">
        <v>8</v>
      </c>
      <c r="G4" s="42" t="s">
        <v>19</v>
      </c>
      <c r="H4" s="55">
        <f>+B4+$I$24</f>
        <v>48.262857142857143</v>
      </c>
      <c r="I4" s="55">
        <f>ROUND(+$H4*C21,2)</f>
        <v>31.09</v>
      </c>
      <c r="J4" s="55">
        <f>ROUND(+$H4*D21,2)</f>
        <v>17.18</v>
      </c>
      <c r="K4" s="31">
        <v>9</v>
      </c>
      <c r="L4" s="81"/>
      <c r="M4" s="42" t="s">
        <v>19</v>
      </c>
      <c r="N4" s="55">
        <f>+'LT cost'!P4/7</f>
        <v>50.51428571428572</v>
      </c>
      <c r="O4" s="55">
        <f>+$N4*C21</f>
        <v>32.540750836327597</v>
      </c>
      <c r="P4" s="55">
        <f>+$N4*D21</f>
        <v>17.98448767191179</v>
      </c>
      <c r="Q4" s="31">
        <v>9.15</v>
      </c>
      <c r="S4" s="42" t="s">
        <v>19</v>
      </c>
      <c r="T4" s="55">
        <f>('LT cost'!X4/7)</f>
        <v>51.302857142857142</v>
      </c>
      <c r="U4" s="55">
        <f>+$T4*C21</f>
        <v>33.048739933093792</v>
      </c>
      <c r="V4" s="55">
        <f>+$T4*D21</f>
        <v>18.265240986247061</v>
      </c>
      <c r="W4" s="31">
        <v>9.1999999999999993</v>
      </c>
      <c r="X4" t="s">
        <v>60</v>
      </c>
      <c r="Z4" s="42" t="s">
        <v>19</v>
      </c>
      <c r="AA4" s="55">
        <f>('LT cost'!AF4/7)</f>
        <v>54.165714285714287</v>
      </c>
      <c r="AB4" s="55">
        <f>+$AA4*C21</f>
        <v>34.892961219179782</v>
      </c>
      <c r="AC4" s="55">
        <f>+$AA4*D21</f>
        <v>19.284497583942514</v>
      </c>
      <c r="AD4" s="31">
        <v>9.5</v>
      </c>
      <c r="AE4" t="s">
        <v>61</v>
      </c>
      <c r="AG4" s="42" t="s">
        <v>19</v>
      </c>
      <c r="AH4" s="55">
        <f>('LT cost'!AN4/7)</f>
        <v>57.887142857142855</v>
      </c>
      <c r="AI4" s="55">
        <f>+$AH4*AB21</f>
        <v>37.290264837070993</v>
      </c>
      <c r="AJ4" s="55">
        <f>+$AH4*AC21</f>
        <v>20.609429438731265</v>
      </c>
      <c r="AK4" s="31">
        <v>10.5</v>
      </c>
      <c r="AL4" t="s">
        <v>62</v>
      </c>
      <c r="AN4" s="42" t="s">
        <v>19</v>
      </c>
      <c r="AO4" s="55">
        <f>ROUND('LT cost'!AV4/7,2)</f>
        <v>61.94</v>
      </c>
      <c r="AP4" s="55">
        <f t="shared" ref="AP4" si="0">+$AO4*AI21</f>
        <v>39.901747999999998</v>
      </c>
      <c r="AQ4" s="55">
        <f t="shared" ref="AQ4" si="1">+$AO4*AJ21</f>
        <v>22.038252</v>
      </c>
      <c r="AR4" s="31">
        <v>11.2</v>
      </c>
      <c r="AS4" t="s">
        <v>63</v>
      </c>
    </row>
    <row r="5" spans="1:45" x14ac:dyDescent="0.35">
      <c r="A5" s="42" t="s">
        <v>21</v>
      </c>
      <c r="B5" s="55">
        <v>65.040000000000006</v>
      </c>
      <c r="C5" s="55">
        <v>40.97</v>
      </c>
      <c r="D5" s="55">
        <v>24.08</v>
      </c>
      <c r="E5" s="31">
        <v>8</v>
      </c>
      <c r="G5" s="42" t="s">
        <v>21</v>
      </c>
      <c r="H5" s="55">
        <f t="shared" ref="H5:H7" si="2">+B5+$I$24</f>
        <v>67.182857142857145</v>
      </c>
      <c r="I5" s="55">
        <f t="shared" ref="I5:J7" si="3">ROUND(+$H5*C22,2)</f>
        <v>42.32</v>
      </c>
      <c r="J5" s="55">
        <f t="shared" si="3"/>
        <v>24.87</v>
      </c>
      <c r="K5" s="31">
        <v>9</v>
      </c>
      <c r="L5" s="81"/>
      <c r="M5" s="42" t="s">
        <v>21</v>
      </c>
      <c r="N5" s="55">
        <f>+'LT cost'!P5/7</f>
        <v>70.315714285714279</v>
      </c>
      <c r="O5" s="55">
        <f t="shared" ref="O5:P7" si="4">+$N5*C22</f>
        <v>44.293278202424872</v>
      </c>
      <c r="P5" s="55">
        <f t="shared" si="4"/>
        <v>26.033247232472316</v>
      </c>
      <c r="Q5" s="31">
        <v>9.15</v>
      </c>
      <c r="S5" s="42" t="s">
        <v>21</v>
      </c>
      <c r="T5" s="55">
        <f>('LT cost'!X5/7)</f>
        <v>71.412857142857135</v>
      </c>
      <c r="U5" s="55">
        <f t="shared" ref="U5:V7" si="5">+$T5*C22</f>
        <v>44.984390484976267</v>
      </c>
      <c r="V5" s="55">
        <f t="shared" si="5"/>
        <v>26.439446494464935</v>
      </c>
      <c r="W5" s="31">
        <v>9.1999999999999993</v>
      </c>
      <c r="X5" t="s">
        <v>35</v>
      </c>
      <c r="Z5" s="42" t="s">
        <v>21</v>
      </c>
      <c r="AA5" s="55">
        <f>('LT cost'!AF5/7)</f>
        <v>75.397142857142853</v>
      </c>
      <c r="AB5" s="55">
        <f t="shared" ref="AB5:AB7" si="6">+$AA5*C22</f>
        <v>47.494171938147943</v>
      </c>
      <c r="AC5" s="55">
        <f t="shared" ref="AC5:AC7" si="7">+$AA5*D22</f>
        <v>27.91456334563345</v>
      </c>
      <c r="AD5" s="31">
        <v>9.5</v>
      </c>
      <c r="AE5" t="s">
        <v>64</v>
      </c>
      <c r="AG5" s="42" t="s">
        <v>21</v>
      </c>
      <c r="AH5" s="55">
        <f>('LT cost'!AN5/7)</f>
        <v>80.577142857142846</v>
      </c>
      <c r="AI5" s="55">
        <f t="shared" ref="AI5:AI7" si="8">+$AH5*AB22</f>
        <v>50.757157793006492</v>
      </c>
      <c r="AJ5" s="55">
        <f t="shared" ref="AJ5:AJ7" si="9">+$AH5*AC22</f>
        <v>29.832373923739226</v>
      </c>
      <c r="AK5" s="31">
        <v>10.5</v>
      </c>
      <c r="AL5" t="s">
        <v>65</v>
      </c>
      <c r="AN5" s="42" t="s">
        <v>21</v>
      </c>
      <c r="AO5" s="55">
        <f>ROUND('LT cost'!AV5/7,2)</f>
        <v>86.65</v>
      </c>
      <c r="AP5" s="55">
        <f t="shared" ref="AP5:AP7" si="10">+$AO5*AI22</f>
        <v>54.580835000000008</v>
      </c>
      <c r="AQ5" s="55">
        <f t="shared" ref="AQ5:AQ7" si="11">+$AO5*AJ22</f>
        <v>32.069164999999998</v>
      </c>
      <c r="AR5" s="31">
        <v>11.2</v>
      </c>
      <c r="AS5" t="s">
        <v>66</v>
      </c>
    </row>
    <row r="6" spans="1:45" x14ac:dyDescent="0.35">
      <c r="A6" s="42" t="s">
        <v>22</v>
      </c>
      <c r="B6" s="55">
        <v>85.83</v>
      </c>
      <c r="C6" s="55">
        <v>49.73</v>
      </c>
      <c r="D6" s="55">
        <v>36.119999999999997</v>
      </c>
      <c r="E6" s="31">
        <v>8</v>
      </c>
      <c r="G6" s="42" t="s">
        <v>22</v>
      </c>
      <c r="H6" s="55">
        <f t="shared" si="2"/>
        <v>87.972857142857137</v>
      </c>
      <c r="I6" s="55">
        <f t="shared" si="3"/>
        <v>50.97</v>
      </c>
      <c r="J6" s="55">
        <f t="shared" si="3"/>
        <v>37.020000000000003</v>
      </c>
      <c r="K6" s="31">
        <v>9</v>
      </c>
      <c r="L6" s="81"/>
      <c r="M6" s="42" t="s">
        <v>22</v>
      </c>
      <c r="N6" s="55">
        <f>+'LT cost'!P6/7</f>
        <v>92.078571428571422</v>
      </c>
      <c r="O6" s="55">
        <f t="shared" si="4"/>
        <v>53.350429420282616</v>
      </c>
      <c r="P6" s="55">
        <f t="shared" si="4"/>
        <v>38.749598042642425</v>
      </c>
      <c r="Q6" s="31">
        <v>9.15</v>
      </c>
      <c r="S6" s="42" t="s">
        <v>22</v>
      </c>
      <c r="T6" s="55">
        <f>('LT cost'!X6/7)</f>
        <v>93.51428571428572</v>
      </c>
      <c r="U6" s="55">
        <f t="shared" si="5"/>
        <v>54.182283916712443</v>
      </c>
      <c r="V6" s="55">
        <f t="shared" si="5"/>
        <v>39.353792380286613</v>
      </c>
      <c r="W6" s="31">
        <v>9.1999999999999993</v>
      </c>
      <c r="Y6" s="83"/>
      <c r="Z6" s="42" t="s">
        <v>22</v>
      </c>
      <c r="AA6" s="55">
        <f>('LT cost'!AF6/7)</f>
        <v>98.732857142857142</v>
      </c>
      <c r="AB6" s="55">
        <f t="shared" si="6"/>
        <v>57.205930160949386</v>
      </c>
      <c r="AC6" s="55">
        <f t="shared" si="7"/>
        <v>41.549933589653968</v>
      </c>
      <c r="AD6" s="31">
        <v>9.5</v>
      </c>
      <c r="AG6" s="42" t="s">
        <v>22</v>
      </c>
      <c r="AH6" s="55">
        <f>('LT cost'!AN6/7)</f>
        <v>105.51571428571428</v>
      </c>
      <c r="AI6" s="55">
        <f t="shared" si="8"/>
        <v>61.135925334132253</v>
      </c>
      <c r="AJ6" s="55">
        <f t="shared" si="9"/>
        <v>44.404376092275427</v>
      </c>
      <c r="AK6" s="31">
        <v>10.5</v>
      </c>
      <c r="AN6" s="42" t="s">
        <v>22</v>
      </c>
      <c r="AO6" s="55">
        <f>ROUND('LT cost'!AV6/7,2)</f>
        <v>112.9</v>
      </c>
      <c r="AP6" s="55">
        <f t="shared" si="10"/>
        <v>65.414260000000013</v>
      </c>
      <c r="AQ6" s="55">
        <f t="shared" si="11"/>
        <v>47.48574</v>
      </c>
      <c r="AR6" s="31">
        <v>11.2</v>
      </c>
    </row>
    <row r="7" spans="1:45" x14ac:dyDescent="0.35">
      <c r="A7" s="42" t="s">
        <v>23</v>
      </c>
      <c r="B7" s="55">
        <v>123.83</v>
      </c>
      <c r="C7" s="55">
        <v>53.78</v>
      </c>
      <c r="D7" s="55">
        <v>70.040000000000006</v>
      </c>
      <c r="E7" s="31">
        <v>8</v>
      </c>
      <c r="G7" s="42" t="s">
        <v>23</v>
      </c>
      <c r="H7" s="55">
        <f t="shared" si="2"/>
        <v>125.97285714285714</v>
      </c>
      <c r="I7" s="55">
        <f t="shared" si="3"/>
        <v>54.71</v>
      </c>
      <c r="J7" s="55">
        <f t="shared" si="3"/>
        <v>71.25</v>
      </c>
      <c r="K7" s="31">
        <v>9</v>
      </c>
      <c r="L7" s="81"/>
      <c r="M7" s="42" t="s">
        <v>23</v>
      </c>
      <c r="N7" s="55">
        <f>+'LT cost'!P7/7</f>
        <v>131.84142857142857</v>
      </c>
      <c r="O7" s="55">
        <f t="shared" si="4"/>
        <v>57.259404252373642</v>
      </c>
      <c r="P7" s="55">
        <f t="shared" si="4"/>
        <v>74.571377349130714</v>
      </c>
      <c r="Q7" s="31">
        <v>9.15</v>
      </c>
      <c r="S7" s="42" t="s">
        <v>23</v>
      </c>
      <c r="T7" s="55">
        <f>('LT cost'!X7/7)</f>
        <v>133.89857142857142</v>
      </c>
      <c r="U7" s="55">
        <f t="shared" si="5"/>
        <v>58.152831877804815</v>
      </c>
      <c r="V7" s="55">
        <f t="shared" si="5"/>
        <v>75.73492645447098</v>
      </c>
      <c r="W7" s="31">
        <v>9.1999999999999993</v>
      </c>
      <c r="Z7" s="42" t="s">
        <v>23</v>
      </c>
      <c r="AA7" s="55">
        <f>('LT cost'!AF7/7)</f>
        <v>141.37</v>
      </c>
      <c r="AB7" s="55">
        <f t="shared" si="6"/>
        <v>61.397711378502784</v>
      </c>
      <c r="AC7" s="55">
        <f t="shared" si="7"/>
        <v>79.960872163449892</v>
      </c>
      <c r="AD7" s="31">
        <v>9.5</v>
      </c>
      <c r="AG7" s="42" t="s">
        <v>23</v>
      </c>
      <c r="AH7" s="55">
        <f>('LT cost'!AN7/7)</f>
        <v>151.08142857142857</v>
      </c>
      <c r="AI7" s="55">
        <f t="shared" si="8"/>
        <v>65.615434293559147</v>
      </c>
      <c r="AJ7" s="55">
        <f t="shared" si="9"/>
        <v>85.453793564910427</v>
      </c>
      <c r="AK7" s="31">
        <v>10.5</v>
      </c>
      <c r="AN7" s="42" t="s">
        <v>23</v>
      </c>
      <c r="AO7" s="55">
        <f>ROUND('LT cost'!AV7/7,2)</f>
        <v>161.66</v>
      </c>
      <c r="AP7" s="55">
        <f t="shared" si="10"/>
        <v>70.208938000000003</v>
      </c>
      <c r="AQ7" s="55">
        <f t="shared" si="11"/>
        <v>91.451061999999993</v>
      </c>
      <c r="AR7" s="31">
        <v>11.2</v>
      </c>
    </row>
    <row r="8" spans="1:45" ht="15" thickBot="1" x14ac:dyDescent="0.4">
      <c r="B8" s="56"/>
      <c r="C8" s="56"/>
      <c r="D8" s="56"/>
      <c r="H8" s="56"/>
      <c r="I8" s="56"/>
      <c r="J8" s="56"/>
      <c r="N8" s="56"/>
      <c r="O8" s="56"/>
      <c r="P8" s="56"/>
      <c r="T8" s="56"/>
      <c r="U8" s="56"/>
      <c r="V8" s="56"/>
      <c r="AA8" s="56"/>
      <c r="AB8" s="56"/>
      <c r="AC8" s="56"/>
      <c r="AH8" s="56"/>
      <c r="AI8" s="56"/>
      <c r="AJ8" s="56"/>
      <c r="AO8" s="56"/>
      <c r="AP8" s="56"/>
      <c r="AQ8" s="89"/>
    </row>
    <row r="9" spans="1:45" x14ac:dyDescent="0.35">
      <c r="A9" s="57" t="s">
        <v>24</v>
      </c>
      <c r="B9" s="36"/>
      <c r="C9" s="37"/>
      <c r="D9" s="38"/>
      <c r="E9" s="56"/>
      <c r="G9" s="57" t="s">
        <v>24</v>
      </c>
      <c r="H9" s="2"/>
      <c r="I9" s="37"/>
      <c r="J9" s="38"/>
      <c r="K9" s="56"/>
      <c r="M9" s="57" t="s">
        <v>24</v>
      </c>
      <c r="N9" s="2"/>
      <c r="O9" s="37"/>
      <c r="P9" s="38"/>
      <c r="Q9" s="56"/>
      <c r="S9" s="57" t="s">
        <v>24</v>
      </c>
      <c r="T9" s="2"/>
      <c r="U9" s="37"/>
      <c r="V9" s="38"/>
      <c r="W9" s="56"/>
      <c r="Z9" s="57" t="s">
        <v>24</v>
      </c>
      <c r="AA9" s="2"/>
      <c r="AB9" s="37"/>
      <c r="AC9" s="38"/>
      <c r="AD9" s="56"/>
      <c r="AG9" s="57" t="s">
        <v>24</v>
      </c>
      <c r="AH9" s="2"/>
      <c r="AI9" s="37"/>
      <c r="AJ9" s="38"/>
      <c r="AK9" s="56"/>
      <c r="AN9" s="57" t="s">
        <v>24</v>
      </c>
      <c r="AO9" s="2" t="s">
        <v>67</v>
      </c>
      <c r="AP9" s="37"/>
      <c r="AQ9" s="38"/>
      <c r="AR9" s="56"/>
    </row>
    <row r="10" spans="1:45" x14ac:dyDescent="0.35">
      <c r="A10" s="58" t="s">
        <v>25</v>
      </c>
      <c r="B10" s="40" t="str">
        <f>N10</f>
        <v>Medium</v>
      </c>
      <c r="D10" s="41"/>
      <c r="G10" s="58" t="s">
        <v>25</v>
      </c>
      <c r="H10" s="5" t="str">
        <f>N10</f>
        <v>Medium</v>
      </c>
      <c r="J10" s="41"/>
      <c r="M10" s="58" t="s">
        <v>25</v>
      </c>
      <c r="N10" s="5" t="s">
        <v>21</v>
      </c>
      <c r="P10" s="41"/>
      <c r="S10" s="58" t="s">
        <v>25</v>
      </c>
      <c r="T10" s="5" t="s">
        <v>19</v>
      </c>
      <c r="V10" s="41"/>
      <c r="Z10" s="58" t="s">
        <v>25</v>
      </c>
      <c r="AA10" s="5" t="s">
        <v>19</v>
      </c>
      <c r="AC10" s="41"/>
      <c r="AG10" s="58" t="s">
        <v>25</v>
      </c>
      <c r="AH10" s="5" t="s">
        <v>23</v>
      </c>
      <c r="AJ10" s="41"/>
      <c r="AN10" s="58" t="s">
        <v>25</v>
      </c>
      <c r="AO10" s="5" t="s">
        <v>23</v>
      </c>
      <c r="AQ10" s="41"/>
    </row>
    <row r="11" spans="1:45" x14ac:dyDescent="0.35">
      <c r="A11" s="59"/>
      <c r="B11" s="42" t="s">
        <v>68</v>
      </c>
      <c r="C11" s="42" t="s">
        <v>69</v>
      </c>
      <c r="D11" s="60"/>
      <c r="G11" s="59"/>
      <c r="H11" s="42" t="s">
        <v>68</v>
      </c>
      <c r="I11" s="42" t="s">
        <v>69</v>
      </c>
      <c r="J11" s="60"/>
      <c r="M11" s="59"/>
      <c r="N11" s="42" t="s">
        <v>68</v>
      </c>
      <c r="O11" s="42" t="s">
        <v>69</v>
      </c>
      <c r="P11" s="60"/>
      <c r="S11" s="59"/>
      <c r="T11" s="42" t="s">
        <v>68</v>
      </c>
      <c r="U11" s="42" t="s">
        <v>69</v>
      </c>
      <c r="V11" s="60"/>
      <c r="Z11" s="59"/>
      <c r="AA11" s="42" t="s">
        <v>68</v>
      </c>
      <c r="AB11" s="42" t="s">
        <v>69</v>
      </c>
      <c r="AC11" s="60"/>
      <c r="AG11" s="59"/>
      <c r="AH11" s="42" t="s">
        <v>68</v>
      </c>
      <c r="AI11" s="42" t="s">
        <v>69</v>
      </c>
      <c r="AJ11" s="60"/>
      <c r="AN11" s="59"/>
      <c r="AO11" s="42" t="s">
        <v>68</v>
      </c>
      <c r="AP11" s="42" t="s">
        <v>69</v>
      </c>
      <c r="AQ11" s="60"/>
    </row>
    <row r="12" spans="1:45" x14ac:dyDescent="0.35">
      <c r="A12" s="59" t="s">
        <v>70</v>
      </c>
      <c r="B12" s="45">
        <f>N12</f>
        <v>7</v>
      </c>
      <c r="C12" s="61">
        <f>VLOOKUP($B$10,$A$3:$E$7,2,FALSE)</f>
        <v>65.040000000000006</v>
      </c>
      <c r="D12" s="17">
        <f>B12*C12</f>
        <v>455.28000000000003</v>
      </c>
      <c r="G12" s="59" t="s">
        <v>70</v>
      </c>
      <c r="H12" s="8">
        <f>N12</f>
        <v>7</v>
      </c>
      <c r="I12" s="61">
        <f>VLOOKUP($H$10,$G$3:$K$7,2,FALSE)</f>
        <v>67.182857142857145</v>
      </c>
      <c r="J12" s="17">
        <f>H12*I12</f>
        <v>470.28000000000003</v>
      </c>
      <c r="M12" s="59" t="s">
        <v>70</v>
      </c>
      <c r="N12" s="8">
        <v>7</v>
      </c>
      <c r="O12" s="61">
        <f>VLOOKUP($H$10,$M$3:$Q$7,2,FALSE)</f>
        <v>70.315714285714279</v>
      </c>
      <c r="P12" s="17">
        <f>N12*O12</f>
        <v>492.20999999999992</v>
      </c>
      <c r="S12" s="59" t="s">
        <v>70</v>
      </c>
      <c r="T12" s="8">
        <v>1</v>
      </c>
      <c r="U12" s="61">
        <f>VLOOKUP($T$10,$S$3:$W$7,2,FALSE)</f>
        <v>51.302857142857142</v>
      </c>
      <c r="V12" s="17">
        <f>T12*U12</f>
        <v>51.302857142857142</v>
      </c>
      <c r="Z12" s="59" t="s">
        <v>70</v>
      </c>
      <c r="AA12" s="8">
        <v>1</v>
      </c>
      <c r="AB12" s="61">
        <f>VLOOKUP($AA$10,$Z$3:$AD$7,2,FALSE)</f>
        <v>54.165714285714287</v>
      </c>
      <c r="AC12" s="17">
        <f>AA12*AB12</f>
        <v>54.165714285714287</v>
      </c>
      <c r="AG12" s="59" t="s">
        <v>70</v>
      </c>
      <c r="AH12" s="8">
        <v>1</v>
      </c>
      <c r="AI12" s="61">
        <f>VLOOKUP($AH$10,$AG$3:$AK$7,2,FALSE)</f>
        <v>151.08142857142857</v>
      </c>
      <c r="AJ12" s="17">
        <f>AH12*AI12</f>
        <v>151.08142857142857</v>
      </c>
      <c r="AN12" s="59" t="s">
        <v>70</v>
      </c>
      <c r="AO12" s="8">
        <v>2</v>
      </c>
      <c r="AP12" s="61">
        <f>_xlfn.XLOOKUP($AO$10,$AN$4:$AN$7,AO4:AO7)</f>
        <v>161.66</v>
      </c>
      <c r="AQ12" s="17">
        <f>AO12*AP12</f>
        <v>323.32</v>
      </c>
    </row>
    <row r="13" spans="1:45" x14ac:dyDescent="0.35">
      <c r="A13" s="91" t="s">
        <v>71</v>
      </c>
      <c r="B13" s="45">
        <f>N13</f>
        <v>0</v>
      </c>
      <c r="C13" s="61">
        <f>VLOOKUP($B$10,$A$3:$E$7,3,FALSE)</f>
        <v>40.97</v>
      </c>
      <c r="D13" s="17">
        <f>B13*C13</f>
        <v>0</v>
      </c>
      <c r="G13" s="91" t="s">
        <v>71</v>
      </c>
      <c r="H13" s="8">
        <f>N13</f>
        <v>0</v>
      </c>
      <c r="I13" s="61">
        <f>VLOOKUP($H$10,$G$3:$K$7,3,FALSE)</f>
        <v>42.32</v>
      </c>
      <c r="J13" s="17">
        <f>H13*I13</f>
        <v>0</v>
      </c>
      <c r="M13" s="91" t="s">
        <v>71</v>
      </c>
      <c r="N13" s="8"/>
      <c r="O13" s="61">
        <f>VLOOKUP($H$10,$M$3:$Q$7,3,FALSE)</f>
        <v>44.293278202424872</v>
      </c>
      <c r="P13" s="17">
        <f>N13*O13</f>
        <v>0</v>
      </c>
      <c r="S13" s="91" t="s">
        <v>71</v>
      </c>
      <c r="T13" s="8">
        <v>2</v>
      </c>
      <c r="U13" s="61">
        <f>VLOOKUP($T$10,$S$3:$W$7,3,FALSE)</f>
        <v>33.048739933093792</v>
      </c>
      <c r="V13" s="17">
        <f>T13*U13</f>
        <v>66.097479866187584</v>
      </c>
      <c r="Z13" s="91" t="s">
        <v>71</v>
      </c>
      <c r="AA13" s="8">
        <v>2</v>
      </c>
      <c r="AB13" s="61">
        <f>VLOOKUP($AA$10,$Z$3:$AD$7,3,FALSE)</f>
        <v>34.892961219179782</v>
      </c>
      <c r="AC13" s="17">
        <f>AA13*AB13</f>
        <v>69.785922438359563</v>
      </c>
      <c r="AG13" s="91" t="s">
        <v>71</v>
      </c>
      <c r="AH13" s="8">
        <v>2</v>
      </c>
      <c r="AI13" s="61">
        <f>VLOOKUP($AH$10,$AG$3:$AK$7,3,FALSE)</f>
        <v>65.615434293559147</v>
      </c>
      <c r="AJ13" s="17">
        <f>AH13*AI13</f>
        <v>131.23086858711829</v>
      </c>
      <c r="AN13" s="91" t="s">
        <v>71</v>
      </c>
      <c r="AO13" s="8">
        <v>0</v>
      </c>
      <c r="AP13" s="61">
        <f>_xlfn.XLOOKUP($AO$10,$AN$4:$AN$7,AP4:AP7)</f>
        <v>70.208938000000003</v>
      </c>
      <c r="AQ13" s="17">
        <f>AO13*AP13</f>
        <v>0</v>
      </c>
    </row>
    <row r="14" spans="1:45" x14ac:dyDescent="0.35">
      <c r="A14" s="91" t="s">
        <v>72</v>
      </c>
      <c r="B14" s="92">
        <f>N14</f>
        <v>0</v>
      </c>
      <c r="C14" s="61">
        <f>VLOOKUP($B$10,$A$3:$E$7,4,FALSE)</f>
        <v>24.08</v>
      </c>
      <c r="D14" s="17">
        <f>B14*C14</f>
        <v>0</v>
      </c>
      <c r="G14" s="91" t="s">
        <v>72</v>
      </c>
      <c r="H14" s="93">
        <f>N14</f>
        <v>0</v>
      </c>
      <c r="I14" s="61">
        <f>VLOOKUP($B$10,$G$3:$K$7,4,FALSE)</f>
        <v>24.87</v>
      </c>
      <c r="J14" s="17">
        <f>H14*I14</f>
        <v>0</v>
      </c>
      <c r="M14" s="91" t="s">
        <v>72</v>
      </c>
      <c r="N14" s="93"/>
      <c r="O14" s="61">
        <f>VLOOKUP($B$10,$M$3:$Q$7,4,FALSE)</f>
        <v>26.033247232472316</v>
      </c>
      <c r="P14" s="17">
        <f>N14*O14</f>
        <v>0</v>
      </c>
      <c r="S14" s="91" t="s">
        <v>72</v>
      </c>
      <c r="T14" s="93">
        <v>4</v>
      </c>
      <c r="U14" s="61">
        <f>VLOOKUP($T$10,$S$3:$W$7,4,FALSE)</f>
        <v>18.265240986247061</v>
      </c>
      <c r="V14" s="17">
        <f>T14*U14</f>
        <v>73.060963944988245</v>
      </c>
      <c r="Z14" s="91" t="s">
        <v>72</v>
      </c>
      <c r="AA14" s="93">
        <v>4</v>
      </c>
      <c r="AB14" s="61">
        <f>VLOOKUP($AA$10,$Z$3:$AD$7,4,FALSE)</f>
        <v>19.284497583942514</v>
      </c>
      <c r="AC14" s="17">
        <f>AA14*AB14</f>
        <v>77.137990335770056</v>
      </c>
      <c r="AG14" s="91" t="s">
        <v>72</v>
      </c>
      <c r="AH14" s="93">
        <v>4</v>
      </c>
      <c r="AI14" s="61">
        <f>VLOOKUP($AH$10,$AG$3:$AK$7,4,FALSE)</f>
        <v>85.453793564910427</v>
      </c>
      <c r="AJ14" s="17">
        <f>AH14*AI14</f>
        <v>341.81517425964171</v>
      </c>
      <c r="AN14" s="91" t="s">
        <v>72</v>
      </c>
      <c r="AO14" s="93">
        <v>0</v>
      </c>
      <c r="AP14" s="61">
        <f>_xlfn.XLOOKUP($AO$10,$AN$4:$AN$7,AQ4:AQ7)</f>
        <v>91.451061999999993</v>
      </c>
      <c r="AQ14" s="17">
        <f>AO14*AP14</f>
        <v>0</v>
      </c>
    </row>
    <row r="15" spans="1:45" x14ac:dyDescent="0.35">
      <c r="A15" s="62" t="s">
        <v>73</v>
      </c>
      <c r="B15" s="63"/>
      <c r="C15" s="64"/>
      <c r="D15" s="21">
        <f>SUM(D12:D14)</f>
        <v>455.28000000000003</v>
      </c>
      <c r="G15" s="62" t="s">
        <v>73</v>
      </c>
      <c r="H15" s="63"/>
      <c r="I15" s="64"/>
      <c r="J15" s="21">
        <f>SUM(J12:J14)</f>
        <v>470.28000000000003</v>
      </c>
      <c r="M15" s="62" t="s">
        <v>73</v>
      </c>
      <c r="N15" s="63"/>
      <c r="O15" s="64"/>
      <c r="P15" s="21">
        <f>SUM(P12:P14)</f>
        <v>492.20999999999992</v>
      </c>
      <c r="S15" s="62" t="s">
        <v>73</v>
      </c>
      <c r="T15" s="63"/>
      <c r="U15" s="64"/>
      <c r="V15" s="21">
        <f>SUM(V12:V14)</f>
        <v>190.46130095403299</v>
      </c>
      <c r="Z15" s="62" t="s">
        <v>73</v>
      </c>
      <c r="AA15" s="63"/>
      <c r="AB15" s="64"/>
      <c r="AC15" s="21">
        <f>SUM(AC12:AC14)</f>
        <v>201.08962705984391</v>
      </c>
      <c r="AG15" s="62" t="s">
        <v>73</v>
      </c>
      <c r="AH15" s="63"/>
      <c r="AI15" s="64"/>
      <c r="AJ15" s="21">
        <f>SUM(AJ12:AJ14)</f>
        <v>624.12747141818863</v>
      </c>
      <c r="AN15" s="62" t="s">
        <v>73</v>
      </c>
      <c r="AO15" s="63"/>
      <c r="AP15" s="64"/>
      <c r="AQ15" s="21">
        <f>SUM(AQ12:AQ14)</f>
        <v>323.32</v>
      </c>
    </row>
    <row r="16" spans="1:45" x14ac:dyDescent="0.35">
      <c r="A16" s="59" t="s">
        <v>74</v>
      </c>
      <c r="B16" s="45">
        <f>N16</f>
        <v>0</v>
      </c>
      <c r="C16" s="61">
        <f>VLOOKUP($B$10,$A$3:$E$7,5,FALSE)</f>
        <v>8</v>
      </c>
      <c r="D16" s="17">
        <f>B16*C16</f>
        <v>0</v>
      </c>
      <c r="G16" s="59" t="s">
        <v>74</v>
      </c>
      <c r="H16" s="8">
        <f>N16</f>
        <v>0</v>
      </c>
      <c r="I16" s="61">
        <f>VLOOKUP($B$10,$G$3:$K$7,5,FALSE)</f>
        <v>9</v>
      </c>
      <c r="J16" s="17">
        <f>H16*I16</f>
        <v>0</v>
      </c>
      <c r="M16" s="59" t="s">
        <v>74</v>
      </c>
      <c r="N16" s="8"/>
      <c r="O16" s="61">
        <f>VLOOKUP($B$10,$M$3:$Q$7,5,FALSE)</f>
        <v>9.15</v>
      </c>
      <c r="P16" s="17">
        <f>N16*O16</f>
        <v>0</v>
      </c>
      <c r="S16" s="59" t="s">
        <v>74</v>
      </c>
      <c r="T16" s="8"/>
      <c r="U16" s="61">
        <f>VLOOKUP($T$10,$S$3:$W$7,5,FALSE)</f>
        <v>9.1999999999999993</v>
      </c>
      <c r="V16" s="17">
        <f>T16*U16</f>
        <v>0</v>
      </c>
      <c r="Z16" s="59" t="s">
        <v>74</v>
      </c>
      <c r="AA16" s="8"/>
      <c r="AB16" s="61">
        <f>VLOOKUP($AA$10,$Z$3:$AD$7,5,FALSE)</f>
        <v>9.5</v>
      </c>
      <c r="AC16" s="17">
        <f>AA16*AB16</f>
        <v>0</v>
      </c>
      <c r="AG16" s="59" t="s">
        <v>74</v>
      </c>
      <c r="AH16" s="8"/>
      <c r="AI16" s="61">
        <f>VLOOKUP($AH$10,$AG$3:$AK$7,5,FALSE)</f>
        <v>10.5</v>
      </c>
      <c r="AJ16" s="17">
        <f>AH16*AI16</f>
        <v>0</v>
      </c>
      <c r="AN16" s="59" t="s">
        <v>74</v>
      </c>
      <c r="AO16" s="8">
        <v>2</v>
      </c>
      <c r="AP16" s="61">
        <f>_xlfn.XLOOKUP($AO$10,$AN$4:$AN$7,AR4:AR7)</f>
        <v>11.2</v>
      </c>
      <c r="AQ16" s="17">
        <f>AO16*AP16</f>
        <v>22.4</v>
      </c>
    </row>
    <row r="17" spans="1:43" s="47" customFormat="1" ht="19" thickBot="1" x14ac:dyDescent="0.5">
      <c r="A17" s="65" t="s">
        <v>75</v>
      </c>
      <c r="B17" s="66"/>
      <c r="C17" s="66"/>
      <c r="D17" s="24">
        <f>D15-D16</f>
        <v>455.28000000000003</v>
      </c>
      <c r="G17" s="65" t="s">
        <v>75</v>
      </c>
      <c r="H17" s="66"/>
      <c r="I17" s="66"/>
      <c r="J17" s="24">
        <f>J15-J16</f>
        <v>470.28000000000003</v>
      </c>
      <c r="M17" s="65" t="s">
        <v>75</v>
      </c>
      <c r="N17" s="66"/>
      <c r="O17" s="66"/>
      <c r="P17" s="24">
        <f>P15-P16</f>
        <v>492.20999999999992</v>
      </c>
      <c r="S17" s="65" t="s">
        <v>75</v>
      </c>
      <c r="T17" s="66"/>
      <c r="U17" s="66"/>
      <c r="V17" s="24">
        <f>V15-V16</f>
        <v>190.46130095403299</v>
      </c>
      <c r="Z17" s="65" t="s">
        <v>75</v>
      </c>
      <c r="AA17" s="66"/>
      <c r="AB17" s="66"/>
      <c r="AC17" s="24">
        <f>AC15-AC16</f>
        <v>201.08962705984391</v>
      </c>
      <c r="AG17" s="65" t="s">
        <v>75</v>
      </c>
      <c r="AH17" s="66"/>
      <c r="AI17" s="66"/>
      <c r="AJ17" s="24">
        <f>AJ15-AJ16</f>
        <v>624.12747141818863</v>
      </c>
      <c r="AN17" s="65" t="s">
        <v>75</v>
      </c>
      <c r="AO17" s="66"/>
      <c r="AP17" s="66"/>
      <c r="AQ17" s="24">
        <f>AQ15-AQ16</f>
        <v>300.92</v>
      </c>
    </row>
    <row r="19" spans="1:43" s="51" customFormat="1" x14ac:dyDescent="0.35">
      <c r="G19" s="51" t="s">
        <v>38</v>
      </c>
      <c r="J19" s="52">
        <f>+J15-D15</f>
        <v>15</v>
      </c>
      <c r="P19" s="52"/>
      <c r="V19" s="52"/>
      <c r="AC19" s="52"/>
      <c r="AJ19" s="52"/>
      <c r="AQ19" s="52"/>
    </row>
    <row r="20" spans="1:43" s="51" customFormat="1" x14ac:dyDescent="0.35">
      <c r="G20" s="51" t="s">
        <v>39</v>
      </c>
      <c r="J20" s="52">
        <f>+J17-D17</f>
        <v>15</v>
      </c>
      <c r="P20" s="52"/>
      <c r="V20" s="52"/>
      <c r="AC20" s="52"/>
      <c r="AJ20" s="52"/>
      <c r="AQ20" s="52"/>
    </row>
    <row r="21" spans="1:43" x14ac:dyDescent="0.35">
      <c r="C21" s="67">
        <f>+(C4/$B4)</f>
        <v>0.64418907198612319</v>
      </c>
      <c r="D21" s="67">
        <f>+(D4/$B4)</f>
        <v>0.35602775368603651</v>
      </c>
      <c r="AB21" s="67">
        <f>+(AB4/$AA4)</f>
        <v>0.64418907198612319</v>
      </c>
      <c r="AC21" s="67">
        <f>+(AC4/$AA4)</f>
        <v>0.35602775368603651</v>
      </c>
      <c r="AI21" s="79">
        <f>+ROUND((AI4/$AH4),4)</f>
        <v>0.64419999999999999</v>
      </c>
      <c r="AJ21" s="79">
        <f>1-AI21</f>
        <v>0.35580000000000001</v>
      </c>
      <c r="AK21" s="90"/>
    </row>
    <row r="22" spans="1:43" x14ac:dyDescent="0.35">
      <c r="C22" s="67">
        <f t="shared" ref="C22:D22" si="12">+(C5/$B5)</f>
        <v>0.62992004920049194</v>
      </c>
      <c r="D22" s="67">
        <f t="shared" si="12"/>
        <v>0.3702337023370233</v>
      </c>
      <c r="AB22" s="67">
        <f t="shared" ref="AB22:AC24" si="13">+(AB5/$AA5)</f>
        <v>0.62992004920049194</v>
      </c>
      <c r="AC22" s="67">
        <f t="shared" si="13"/>
        <v>0.3702337023370233</v>
      </c>
      <c r="AI22" s="79">
        <f t="shared" ref="AI22:AI24" si="14">+ROUND((AI5/$AH5),4)</f>
        <v>0.62990000000000002</v>
      </c>
      <c r="AJ22" s="79">
        <f t="shared" ref="AJ22:AJ24" si="15">1-AI22</f>
        <v>0.37009999999999998</v>
      </c>
      <c r="AK22" s="90"/>
    </row>
    <row r="23" spans="1:43" x14ac:dyDescent="0.35">
      <c r="C23" s="67">
        <f t="shared" ref="C23:D23" si="16">+(C6/$B6)</f>
        <v>0.57940114179191426</v>
      </c>
      <c r="D23" s="67">
        <f t="shared" si="16"/>
        <v>0.42083187696609575</v>
      </c>
      <c r="G23" t="s">
        <v>76</v>
      </c>
      <c r="I23" s="68">
        <v>15</v>
      </c>
      <c r="O23" s="68"/>
      <c r="U23" s="68"/>
      <c r="AB23" s="67">
        <f t="shared" si="13"/>
        <v>0.57940114179191426</v>
      </c>
      <c r="AC23" s="67">
        <f t="shared" si="13"/>
        <v>0.42083187696609575</v>
      </c>
      <c r="AI23" s="79">
        <f t="shared" si="14"/>
        <v>0.57940000000000003</v>
      </c>
      <c r="AJ23" s="79">
        <f t="shared" si="15"/>
        <v>0.42059999999999997</v>
      </c>
      <c r="AK23" s="90"/>
      <c r="AP23" s="68"/>
    </row>
    <row r="24" spans="1:43" x14ac:dyDescent="0.35">
      <c r="C24" s="67">
        <f t="shared" ref="C24:D24" si="17">+(C7/$B7)</f>
        <v>0.43430509569571185</v>
      </c>
      <c r="D24" s="67">
        <f t="shared" si="17"/>
        <v>0.56561414842929825</v>
      </c>
      <c r="G24" t="s">
        <v>77</v>
      </c>
      <c r="I24" s="56">
        <f>+I23/7</f>
        <v>2.1428571428571428</v>
      </c>
      <c r="O24" s="56"/>
      <c r="U24" s="56"/>
      <c r="AB24" s="67">
        <f t="shared" si="13"/>
        <v>0.43430509569571185</v>
      </c>
      <c r="AC24" s="67">
        <f t="shared" si="13"/>
        <v>0.56561414842929825</v>
      </c>
      <c r="AI24" s="79">
        <f t="shared" si="14"/>
        <v>0.43430000000000002</v>
      </c>
      <c r="AJ24" s="79">
        <f t="shared" si="15"/>
        <v>0.56569999999999998</v>
      </c>
      <c r="AK24" s="90"/>
      <c r="AP24" s="56"/>
    </row>
    <row r="29" spans="1:43" ht="15" thickBot="1" x14ac:dyDescent="0.4"/>
    <row r="30" spans="1:43" x14ac:dyDescent="0.35">
      <c r="G30" s="69" t="s">
        <v>78</v>
      </c>
      <c r="H30" s="37"/>
      <c r="I30" s="37"/>
      <c r="J30" s="38"/>
      <c r="M30" s="69" t="s">
        <v>78</v>
      </c>
      <c r="N30" s="37"/>
      <c r="O30" s="37"/>
      <c r="P30" s="38"/>
      <c r="S30" s="69" t="s">
        <v>78</v>
      </c>
      <c r="T30" s="37"/>
      <c r="U30" s="37"/>
      <c r="V30" s="38"/>
      <c r="Z30" s="69" t="s">
        <v>78</v>
      </c>
      <c r="AA30" s="37"/>
      <c r="AB30" s="37"/>
      <c r="AC30" s="38"/>
      <c r="AG30" s="69" t="s">
        <v>78</v>
      </c>
      <c r="AH30" s="37"/>
      <c r="AI30" s="37"/>
      <c r="AJ30" s="38"/>
      <c r="AN30" s="69" t="s">
        <v>78</v>
      </c>
      <c r="AO30" s="37"/>
      <c r="AP30" s="37"/>
      <c r="AQ30" s="38"/>
    </row>
    <row r="31" spans="1:43" x14ac:dyDescent="0.35">
      <c r="G31" s="39"/>
      <c r="J31" s="41"/>
      <c r="M31" s="39"/>
      <c r="P31" s="41"/>
      <c r="S31" s="39"/>
      <c r="V31" s="41"/>
      <c r="Z31" s="39"/>
      <c r="AC31" s="41"/>
      <c r="AG31" s="39"/>
      <c r="AJ31" s="41"/>
      <c r="AN31" s="39"/>
      <c r="AQ31" s="41"/>
    </row>
    <row r="32" spans="1:43" x14ac:dyDescent="0.35">
      <c r="G32" s="39" t="s">
        <v>79</v>
      </c>
      <c r="I32" s="28">
        <v>43556</v>
      </c>
      <c r="J32" s="41"/>
      <c r="M32" s="39" t="s">
        <v>79</v>
      </c>
      <c r="O32" s="28">
        <v>43556</v>
      </c>
      <c r="P32" s="41"/>
      <c r="S32" s="39" t="s">
        <v>79</v>
      </c>
      <c r="U32" s="28">
        <v>43556</v>
      </c>
      <c r="V32" s="41"/>
      <c r="Z32" s="39" t="s">
        <v>79</v>
      </c>
      <c r="AB32" s="28">
        <v>43556</v>
      </c>
      <c r="AC32" s="41"/>
      <c r="AG32" s="39" t="s">
        <v>79</v>
      </c>
      <c r="AI32" s="28">
        <v>43556</v>
      </c>
      <c r="AJ32" s="41"/>
      <c r="AN32" s="39" t="s">
        <v>79</v>
      </c>
      <c r="AP32" s="28">
        <v>45383</v>
      </c>
      <c r="AQ32" s="41"/>
    </row>
    <row r="33" spans="7:43" x14ac:dyDescent="0.35">
      <c r="G33" s="39" t="s">
        <v>80</v>
      </c>
      <c r="I33" s="28">
        <v>43559</v>
      </c>
      <c r="J33" s="41"/>
      <c r="M33" s="39" t="s">
        <v>80</v>
      </c>
      <c r="O33" s="28">
        <v>43559</v>
      </c>
      <c r="P33" s="41"/>
      <c r="S33" s="39" t="s">
        <v>80</v>
      </c>
      <c r="U33" s="28">
        <v>43559</v>
      </c>
      <c r="V33" s="41"/>
      <c r="Z33" s="39" t="s">
        <v>80</v>
      </c>
      <c r="AB33" s="28">
        <v>43559</v>
      </c>
      <c r="AC33" s="41"/>
      <c r="AG33" s="39" t="s">
        <v>80</v>
      </c>
      <c r="AI33" s="28">
        <v>43559</v>
      </c>
      <c r="AJ33" s="41"/>
      <c r="AN33" s="39" t="s">
        <v>80</v>
      </c>
      <c r="AP33" s="28">
        <v>45386</v>
      </c>
      <c r="AQ33" s="41"/>
    </row>
    <row r="34" spans="7:43" x14ac:dyDescent="0.35">
      <c r="G34" s="39" t="s">
        <v>81</v>
      </c>
      <c r="I34" s="70">
        <f>+I33-I32</f>
        <v>3</v>
      </c>
      <c r="J34" s="41"/>
      <c r="M34" s="39" t="s">
        <v>81</v>
      </c>
      <c r="O34" s="70">
        <f>+O33-O32</f>
        <v>3</v>
      </c>
      <c r="P34" s="41"/>
      <c r="S34" s="39" t="s">
        <v>81</v>
      </c>
      <c r="U34" s="70">
        <f>+U33-U32</f>
        <v>3</v>
      </c>
      <c r="V34" s="41"/>
      <c r="Z34" s="39" t="s">
        <v>81</v>
      </c>
      <c r="AB34" s="70">
        <f>+AB33-AB32</f>
        <v>3</v>
      </c>
      <c r="AC34" s="41"/>
      <c r="AG34" s="39" t="s">
        <v>81</v>
      </c>
      <c r="AI34" s="70">
        <f>+AI33-AI32</f>
        <v>3</v>
      </c>
      <c r="AJ34" s="41"/>
      <c r="AN34" s="39" t="s">
        <v>81</v>
      </c>
      <c r="AP34" s="70">
        <f>+AP33-AP32</f>
        <v>3</v>
      </c>
      <c r="AQ34" s="41"/>
    </row>
    <row r="35" spans="7:43" x14ac:dyDescent="0.35">
      <c r="G35" s="39"/>
      <c r="J35" s="41"/>
      <c r="M35" s="39"/>
      <c r="P35" s="41"/>
      <c r="S35" s="39"/>
      <c r="V35" s="41"/>
      <c r="Z35" s="39"/>
      <c r="AC35" s="41"/>
      <c r="AG35" s="39"/>
      <c r="AJ35" s="41"/>
      <c r="AN35" s="39"/>
      <c r="AQ35" s="41"/>
    </row>
    <row r="36" spans="7:43" x14ac:dyDescent="0.35">
      <c r="G36" s="39" t="s">
        <v>82</v>
      </c>
      <c r="I36" s="71">
        <f>+J17/I34*7</f>
        <v>1097.3200000000002</v>
      </c>
      <c r="J36" s="41"/>
      <c r="M36" s="39" t="s">
        <v>82</v>
      </c>
      <c r="O36" s="71">
        <f>+P17/O34*7</f>
        <v>1148.4899999999998</v>
      </c>
      <c r="P36" s="41"/>
      <c r="S36" s="39" t="s">
        <v>82</v>
      </c>
      <c r="U36" s="71">
        <f>+V17/U34*7</f>
        <v>444.40970222607694</v>
      </c>
      <c r="V36" s="41"/>
      <c r="Z36" s="39" t="s">
        <v>82</v>
      </c>
      <c r="AB36" s="71">
        <f>+AC17/AB34*7</f>
        <v>469.20912980630243</v>
      </c>
      <c r="AC36" s="41"/>
      <c r="AG36" s="39" t="s">
        <v>82</v>
      </c>
      <c r="AI36" s="71">
        <f>+AJ17/AI34*7</f>
        <v>1456.297433309107</v>
      </c>
      <c r="AJ36" s="41"/>
      <c r="AN36" s="39" t="s">
        <v>82</v>
      </c>
      <c r="AP36" s="71">
        <f>+AQ17/AP34*7</f>
        <v>702.14666666666676</v>
      </c>
      <c r="AQ36" s="41"/>
    </row>
    <row r="37" spans="7:43" x14ac:dyDescent="0.35">
      <c r="G37" s="39"/>
      <c r="J37" s="41"/>
      <c r="M37" s="39"/>
      <c r="P37" s="41"/>
      <c r="S37" s="39"/>
      <c r="V37" s="41"/>
      <c r="Z37" s="39"/>
      <c r="AC37" s="41"/>
      <c r="AG37" s="39"/>
      <c r="AJ37" s="41"/>
      <c r="AN37" s="39"/>
      <c r="AQ37" s="41"/>
    </row>
    <row r="38" spans="7:43" x14ac:dyDescent="0.35">
      <c r="G38" s="39" t="s">
        <v>83</v>
      </c>
      <c r="I38" s="71">
        <f>+I36/7*I34</f>
        <v>470.28000000000009</v>
      </c>
      <c r="J38" s="41"/>
      <c r="M38" s="39" t="s">
        <v>83</v>
      </c>
      <c r="O38" s="71">
        <f>+O36/7*O34</f>
        <v>492.20999999999992</v>
      </c>
      <c r="P38" s="41"/>
      <c r="S38" s="39" t="s">
        <v>83</v>
      </c>
      <c r="U38" s="71">
        <f>+U36/7*U34</f>
        <v>190.46130095403299</v>
      </c>
      <c r="V38" s="41"/>
      <c r="Z38" s="39" t="s">
        <v>83</v>
      </c>
      <c r="AB38" s="71">
        <f>+AB36/7*AB34</f>
        <v>201.08962705984391</v>
      </c>
      <c r="AC38" s="41"/>
      <c r="AG38" s="39" t="s">
        <v>83</v>
      </c>
      <c r="AI38" s="71">
        <f>+AI36/7*AI34</f>
        <v>624.12747141818863</v>
      </c>
      <c r="AJ38" s="41"/>
      <c r="AN38" s="39" t="s">
        <v>83</v>
      </c>
      <c r="AP38" s="71">
        <f>+AP36/7*AP34</f>
        <v>300.92000000000007</v>
      </c>
      <c r="AQ38" s="41"/>
    </row>
    <row r="39" spans="7:43" ht="15" thickBot="1" x14ac:dyDescent="0.4">
      <c r="G39" s="49"/>
      <c r="H39" s="50"/>
      <c r="I39" s="50"/>
      <c r="J39" s="72"/>
      <c r="M39" s="49"/>
      <c r="N39" s="50"/>
      <c r="O39" s="50"/>
      <c r="P39" s="72"/>
      <c r="S39" s="49"/>
      <c r="T39" s="50"/>
      <c r="U39" s="50"/>
      <c r="V39" s="72"/>
      <c r="Z39" s="49"/>
      <c r="AA39" s="50"/>
      <c r="AB39" s="50"/>
      <c r="AC39" s="72"/>
      <c r="AG39" s="49"/>
      <c r="AH39" s="50"/>
      <c r="AI39" s="50"/>
      <c r="AJ39" s="72"/>
      <c r="AN39" s="49"/>
      <c r="AO39" s="50"/>
      <c r="AP39" s="50"/>
      <c r="AQ39" s="72"/>
    </row>
  </sheetData>
  <sheetProtection selectLockedCells="1"/>
  <mergeCells count="7">
    <mergeCell ref="AN2:AR2"/>
    <mergeCell ref="AG2:AK2"/>
    <mergeCell ref="A2:E2"/>
    <mergeCell ref="G2:K2"/>
    <mergeCell ref="M2:Q2"/>
    <mergeCell ref="S2:W2"/>
    <mergeCell ref="Z2:AD2"/>
  </mergeCells>
  <dataValidations count="1">
    <dataValidation type="list" allowBlank="1" showInputMessage="1" showErrorMessage="1" sqref="B10 H10 N10 T10 AA10 AH10 AO10" xr:uid="{FD108169-BF3F-43FD-9AC1-9CBFEFE650E7}">
      <formula1>$A$4:$A$7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9"/>
  <sheetViews>
    <sheetView topLeftCell="Z1" workbookViewId="0">
      <selection activeCell="AB12" sqref="AB12"/>
    </sheetView>
  </sheetViews>
  <sheetFormatPr defaultRowHeight="14.5" outlineLevelCol="1" x14ac:dyDescent="0.35"/>
  <cols>
    <col min="1" max="1" width="23.54296875" hidden="1" customWidth="1" outlineLevel="1"/>
    <col min="2" max="2" width="13.54296875" hidden="1" customWidth="1" outlineLevel="1"/>
    <col min="3" max="5" width="9.1796875" hidden="1" customWidth="1" outlineLevel="1"/>
    <col min="6" max="6" width="22.453125" hidden="1" customWidth="1" outlineLevel="1"/>
    <col min="7" max="7" width="14.54296875" hidden="1" customWidth="1" outlineLevel="1"/>
    <col min="8" max="8" width="10.54296875" hidden="1" customWidth="1" outlineLevel="1"/>
    <col min="9" max="10" width="8.81640625" hidden="1" customWidth="1" outlineLevel="1"/>
    <col min="11" max="11" width="22.453125" hidden="1" customWidth="1" outlineLevel="1"/>
    <col min="12" max="12" width="14.54296875" hidden="1" customWidth="1" outlineLevel="1"/>
    <col min="13" max="13" width="10.54296875" hidden="1" customWidth="1" outlineLevel="1"/>
    <col min="14" max="15" width="9.1796875" hidden="1" customWidth="1" outlineLevel="1"/>
    <col min="16" max="16" width="22.453125" hidden="1" customWidth="1" outlineLevel="1"/>
    <col min="17" max="17" width="14.54296875" hidden="1" customWidth="1" outlineLevel="1"/>
    <col min="18" max="18" width="10.54296875" hidden="1" customWidth="1" outlineLevel="1"/>
    <col min="19" max="20" width="9.1796875" hidden="1" customWidth="1" outlineLevel="1"/>
    <col min="21" max="21" width="22.453125" hidden="1" customWidth="1" outlineLevel="1"/>
    <col min="22" max="22" width="14.54296875" hidden="1" customWidth="1" outlineLevel="1"/>
    <col min="23" max="23" width="10.54296875" hidden="1" customWidth="1" outlineLevel="1"/>
    <col min="24" max="25" width="9.1796875" hidden="1" customWidth="1" outlineLevel="1"/>
    <col min="26" max="26" width="9.1796875" outlineLevel="1" collapsed="1"/>
    <col min="27" max="27" width="22.453125" customWidth="1" outlineLevel="1" collapsed="1"/>
    <col min="28" max="28" width="14.54296875" customWidth="1" outlineLevel="1"/>
    <col min="29" max="29" width="10.54296875" customWidth="1" outlineLevel="1"/>
    <col min="30" max="31" width="9.1796875" outlineLevel="1"/>
    <col min="33" max="33" width="22.453125" customWidth="1" collapsed="1"/>
    <col min="34" max="34" width="14.54296875" customWidth="1"/>
    <col min="35" max="35" width="10.54296875" customWidth="1"/>
    <col min="256" max="256" width="23.54296875" bestFit="1" customWidth="1"/>
    <col min="257" max="257" width="13.54296875" bestFit="1" customWidth="1"/>
    <col min="512" max="512" width="23.54296875" bestFit="1" customWidth="1"/>
    <col min="513" max="513" width="13.54296875" bestFit="1" customWidth="1"/>
    <col min="768" max="768" width="23.54296875" bestFit="1" customWidth="1"/>
    <col min="769" max="769" width="13.54296875" bestFit="1" customWidth="1"/>
    <col min="1024" max="1024" width="23.54296875" bestFit="1" customWidth="1"/>
    <col min="1025" max="1025" width="13.54296875" bestFit="1" customWidth="1"/>
    <col min="1280" max="1280" width="23.54296875" bestFit="1" customWidth="1"/>
    <col min="1281" max="1281" width="13.54296875" bestFit="1" customWidth="1"/>
    <col min="1536" max="1536" width="23.54296875" bestFit="1" customWidth="1"/>
    <col min="1537" max="1537" width="13.54296875" bestFit="1" customWidth="1"/>
    <col min="1792" max="1792" width="23.54296875" bestFit="1" customWidth="1"/>
    <col min="1793" max="1793" width="13.54296875" bestFit="1" customWidth="1"/>
    <col min="2048" max="2048" width="23.54296875" bestFit="1" customWidth="1"/>
    <col min="2049" max="2049" width="13.54296875" bestFit="1" customWidth="1"/>
    <col min="2304" max="2304" width="23.54296875" bestFit="1" customWidth="1"/>
    <col min="2305" max="2305" width="13.54296875" bestFit="1" customWidth="1"/>
    <col min="2560" max="2560" width="23.54296875" bestFit="1" customWidth="1"/>
    <col min="2561" max="2561" width="13.54296875" bestFit="1" customWidth="1"/>
    <col min="2816" max="2816" width="23.54296875" bestFit="1" customWidth="1"/>
    <col min="2817" max="2817" width="13.54296875" bestFit="1" customWidth="1"/>
    <col min="3072" max="3072" width="23.54296875" bestFit="1" customWidth="1"/>
    <col min="3073" max="3073" width="13.54296875" bestFit="1" customWidth="1"/>
    <col min="3328" max="3328" width="23.54296875" bestFit="1" customWidth="1"/>
    <col min="3329" max="3329" width="13.54296875" bestFit="1" customWidth="1"/>
    <col min="3584" max="3584" width="23.54296875" bestFit="1" customWidth="1"/>
    <col min="3585" max="3585" width="13.54296875" bestFit="1" customWidth="1"/>
    <col min="3840" max="3840" width="23.54296875" bestFit="1" customWidth="1"/>
    <col min="3841" max="3841" width="13.54296875" bestFit="1" customWidth="1"/>
    <col min="4096" max="4096" width="23.54296875" bestFit="1" customWidth="1"/>
    <col min="4097" max="4097" width="13.54296875" bestFit="1" customWidth="1"/>
    <col min="4352" max="4352" width="23.54296875" bestFit="1" customWidth="1"/>
    <col min="4353" max="4353" width="13.54296875" bestFit="1" customWidth="1"/>
    <col min="4608" max="4608" width="23.54296875" bestFit="1" customWidth="1"/>
    <col min="4609" max="4609" width="13.54296875" bestFit="1" customWidth="1"/>
    <col min="4864" max="4864" width="23.54296875" bestFit="1" customWidth="1"/>
    <col min="4865" max="4865" width="13.54296875" bestFit="1" customWidth="1"/>
    <col min="5120" max="5120" width="23.54296875" bestFit="1" customWidth="1"/>
    <col min="5121" max="5121" width="13.54296875" bestFit="1" customWidth="1"/>
    <col min="5376" max="5376" width="23.54296875" bestFit="1" customWidth="1"/>
    <col min="5377" max="5377" width="13.54296875" bestFit="1" customWidth="1"/>
    <col min="5632" max="5632" width="23.54296875" bestFit="1" customWidth="1"/>
    <col min="5633" max="5633" width="13.54296875" bestFit="1" customWidth="1"/>
    <col min="5888" max="5888" width="23.54296875" bestFit="1" customWidth="1"/>
    <col min="5889" max="5889" width="13.54296875" bestFit="1" customWidth="1"/>
    <col min="6144" max="6144" width="23.54296875" bestFit="1" customWidth="1"/>
    <col min="6145" max="6145" width="13.54296875" bestFit="1" customWidth="1"/>
    <col min="6400" max="6400" width="23.54296875" bestFit="1" customWidth="1"/>
    <col min="6401" max="6401" width="13.54296875" bestFit="1" customWidth="1"/>
    <col min="6656" max="6656" width="23.54296875" bestFit="1" customWidth="1"/>
    <col min="6657" max="6657" width="13.54296875" bestFit="1" customWidth="1"/>
    <col min="6912" max="6912" width="23.54296875" bestFit="1" customWidth="1"/>
    <col min="6913" max="6913" width="13.54296875" bestFit="1" customWidth="1"/>
    <col min="7168" max="7168" width="23.54296875" bestFit="1" customWidth="1"/>
    <col min="7169" max="7169" width="13.54296875" bestFit="1" customWidth="1"/>
    <col min="7424" max="7424" width="23.54296875" bestFit="1" customWidth="1"/>
    <col min="7425" max="7425" width="13.54296875" bestFit="1" customWidth="1"/>
    <col min="7680" max="7680" width="23.54296875" bestFit="1" customWidth="1"/>
    <col min="7681" max="7681" width="13.54296875" bestFit="1" customWidth="1"/>
    <col min="7936" max="7936" width="23.54296875" bestFit="1" customWidth="1"/>
    <col min="7937" max="7937" width="13.54296875" bestFit="1" customWidth="1"/>
    <col min="8192" max="8192" width="23.54296875" bestFit="1" customWidth="1"/>
    <col min="8193" max="8193" width="13.54296875" bestFit="1" customWidth="1"/>
    <col min="8448" max="8448" width="23.54296875" bestFit="1" customWidth="1"/>
    <col min="8449" max="8449" width="13.54296875" bestFit="1" customWidth="1"/>
    <col min="8704" max="8704" width="23.54296875" bestFit="1" customWidth="1"/>
    <col min="8705" max="8705" width="13.54296875" bestFit="1" customWidth="1"/>
    <col min="8960" max="8960" width="23.54296875" bestFit="1" customWidth="1"/>
    <col min="8961" max="8961" width="13.54296875" bestFit="1" customWidth="1"/>
    <col min="9216" max="9216" width="23.54296875" bestFit="1" customWidth="1"/>
    <col min="9217" max="9217" width="13.54296875" bestFit="1" customWidth="1"/>
    <col min="9472" max="9472" width="23.54296875" bestFit="1" customWidth="1"/>
    <col min="9473" max="9473" width="13.54296875" bestFit="1" customWidth="1"/>
    <col min="9728" max="9728" width="23.54296875" bestFit="1" customWidth="1"/>
    <col min="9729" max="9729" width="13.54296875" bestFit="1" customWidth="1"/>
    <col min="9984" max="9984" width="23.54296875" bestFit="1" customWidth="1"/>
    <col min="9985" max="9985" width="13.54296875" bestFit="1" customWidth="1"/>
    <col min="10240" max="10240" width="23.54296875" bestFit="1" customWidth="1"/>
    <col min="10241" max="10241" width="13.54296875" bestFit="1" customWidth="1"/>
    <col min="10496" max="10496" width="23.54296875" bestFit="1" customWidth="1"/>
    <col min="10497" max="10497" width="13.54296875" bestFit="1" customWidth="1"/>
    <col min="10752" max="10752" width="23.54296875" bestFit="1" customWidth="1"/>
    <col min="10753" max="10753" width="13.54296875" bestFit="1" customWidth="1"/>
    <col min="11008" max="11008" width="23.54296875" bestFit="1" customWidth="1"/>
    <col min="11009" max="11009" width="13.54296875" bestFit="1" customWidth="1"/>
    <col min="11264" max="11264" width="23.54296875" bestFit="1" customWidth="1"/>
    <col min="11265" max="11265" width="13.54296875" bestFit="1" customWidth="1"/>
    <col min="11520" max="11520" width="23.54296875" bestFit="1" customWidth="1"/>
    <col min="11521" max="11521" width="13.54296875" bestFit="1" customWidth="1"/>
    <col min="11776" max="11776" width="23.54296875" bestFit="1" customWidth="1"/>
    <col min="11777" max="11777" width="13.54296875" bestFit="1" customWidth="1"/>
    <col min="12032" max="12032" width="23.54296875" bestFit="1" customWidth="1"/>
    <col min="12033" max="12033" width="13.54296875" bestFit="1" customWidth="1"/>
    <col min="12288" max="12288" width="23.54296875" bestFit="1" customWidth="1"/>
    <col min="12289" max="12289" width="13.54296875" bestFit="1" customWidth="1"/>
    <col min="12544" max="12544" width="23.54296875" bestFit="1" customWidth="1"/>
    <col min="12545" max="12545" width="13.54296875" bestFit="1" customWidth="1"/>
    <col min="12800" max="12800" width="23.54296875" bestFit="1" customWidth="1"/>
    <col min="12801" max="12801" width="13.54296875" bestFit="1" customWidth="1"/>
    <col min="13056" max="13056" width="23.54296875" bestFit="1" customWidth="1"/>
    <col min="13057" max="13057" width="13.54296875" bestFit="1" customWidth="1"/>
    <col min="13312" max="13312" width="23.54296875" bestFit="1" customWidth="1"/>
    <col min="13313" max="13313" width="13.54296875" bestFit="1" customWidth="1"/>
    <col min="13568" max="13568" width="23.54296875" bestFit="1" customWidth="1"/>
    <col min="13569" max="13569" width="13.54296875" bestFit="1" customWidth="1"/>
    <col min="13824" max="13824" width="23.54296875" bestFit="1" customWidth="1"/>
    <col min="13825" max="13825" width="13.54296875" bestFit="1" customWidth="1"/>
    <col min="14080" max="14080" width="23.54296875" bestFit="1" customWidth="1"/>
    <col min="14081" max="14081" width="13.54296875" bestFit="1" customWidth="1"/>
    <col min="14336" max="14336" width="23.54296875" bestFit="1" customWidth="1"/>
    <col min="14337" max="14337" width="13.54296875" bestFit="1" customWidth="1"/>
    <col min="14592" max="14592" width="23.54296875" bestFit="1" customWidth="1"/>
    <col min="14593" max="14593" width="13.54296875" bestFit="1" customWidth="1"/>
    <col min="14848" max="14848" width="23.54296875" bestFit="1" customWidth="1"/>
    <col min="14849" max="14849" width="13.54296875" bestFit="1" customWidth="1"/>
    <col min="15104" max="15104" width="23.54296875" bestFit="1" customWidth="1"/>
    <col min="15105" max="15105" width="13.54296875" bestFit="1" customWidth="1"/>
    <col min="15360" max="15360" width="23.54296875" bestFit="1" customWidth="1"/>
    <col min="15361" max="15361" width="13.54296875" bestFit="1" customWidth="1"/>
    <col min="15616" max="15616" width="23.54296875" bestFit="1" customWidth="1"/>
    <col min="15617" max="15617" width="13.54296875" bestFit="1" customWidth="1"/>
    <col min="15872" max="15872" width="23.54296875" bestFit="1" customWidth="1"/>
    <col min="15873" max="15873" width="13.54296875" bestFit="1" customWidth="1"/>
    <col min="16128" max="16128" width="23.54296875" bestFit="1" customWidth="1"/>
    <col min="16129" max="16129" width="13.54296875" bestFit="1" customWidth="1"/>
  </cols>
  <sheetData>
    <row r="1" spans="1:36" s="73" customFormat="1" ht="15" thickBot="1" x14ac:dyDescent="0.4">
      <c r="A1" s="53" t="s">
        <v>84</v>
      </c>
      <c r="F1" s="53" t="s">
        <v>84</v>
      </c>
      <c r="K1" s="53" t="s">
        <v>84</v>
      </c>
      <c r="P1" s="53" t="s">
        <v>84</v>
      </c>
      <c r="U1" s="53" t="s">
        <v>84</v>
      </c>
      <c r="AA1" s="53" t="s">
        <v>84</v>
      </c>
      <c r="AG1" s="53" t="s">
        <v>84</v>
      </c>
    </row>
    <row r="2" spans="1:36" ht="15" thickBot="1" x14ac:dyDescent="0.4">
      <c r="A2" s="106" t="s">
        <v>49</v>
      </c>
      <c r="B2" s="107"/>
      <c r="C2" s="107"/>
      <c r="D2" s="108"/>
      <c r="F2" s="106" t="s">
        <v>50</v>
      </c>
      <c r="G2" s="107"/>
      <c r="H2" s="107"/>
      <c r="I2" s="108"/>
      <c r="K2" s="106" t="s">
        <v>85</v>
      </c>
      <c r="L2" s="107"/>
      <c r="M2" s="107"/>
      <c r="N2" s="108"/>
      <c r="P2" s="106" t="s">
        <v>3</v>
      </c>
      <c r="Q2" s="107"/>
      <c r="R2" s="107"/>
      <c r="S2" s="108"/>
      <c r="U2" s="106" t="s">
        <v>4</v>
      </c>
      <c r="V2" s="107"/>
      <c r="W2" s="107"/>
      <c r="X2" s="108"/>
      <c r="AA2" s="106" t="s">
        <v>5</v>
      </c>
      <c r="AB2" s="107"/>
      <c r="AC2" s="107"/>
      <c r="AD2" s="108"/>
      <c r="AG2" s="106" t="s">
        <v>6</v>
      </c>
      <c r="AH2" s="107"/>
      <c r="AI2" s="107"/>
      <c r="AJ2" s="108"/>
    </row>
    <row r="3" spans="1:36" ht="52.5" x14ac:dyDescent="0.35">
      <c r="A3" s="54" t="s">
        <v>7</v>
      </c>
      <c r="B3" s="54" t="s">
        <v>9</v>
      </c>
      <c r="F3" s="54" t="s">
        <v>7</v>
      </c>
      <c r="G3" s="54" t="s">
        <v>9</v>
      </c>
      <c r="K3" s="54" t="s">
        <v>7</v>
      </c>
      <c r="L3" s="54" t="s">
        <v>9</v>
      </c>
      <c r="P3" s="54" t="s">
        <v>7</v>
      </c>
      <c r="Q3" s="54" t="s">
        <v>9</v>
      </c>
      <c r="U3" s="54" t="s">
        <v>86</v>
      </c>
      <c r="V3" s="54" t="s">
        <v>9</v>
      </c>
      <c r="AA3" s="54" t="s">
        <v>86</v>
      </c>
      <c r="AB3" s="54" t="s">
        <v>9</v>
      </c>
      <c r="AG3" s="54" t="s">
        <v>86</v>
      </c>
      <c r="AH3" s="54" t="s">
        <v>87</v>
      </c>
    </row>
    <row r="4" spans="1:36" x14ac:dyDescent="0.35">
      <c r="A4" s="42" t="s">
        <v>12</v>
      </c>
      <c r="B4" s="42" t="s">
        <v>13</v>
      </c>
      <c r="F4" s="42" t="s">
        <v>12</v>
      </c>
      <c r="G4" s="42" t="s">
        <v>13</v>
      </c>
      <c r="K4" s="42" t="s">
        <v>12</v>
      </c>
      <c r="L4" s="42" t="s">
        <v>13</v>
      </c>
      <c r="P4" s="42" t="s">
        <v>12</v>
      </c>
      <c r="Q4" s="42" t="s">
        <v>13</v>
      </c>
      <c r="U4" s="42" t="s">
        <v>12</v>
      </c>
      <c r="V4" s="42" t="s">
        <v>13</v>
      </c>
      <c r="AA4" s="42" t="s">
        <v>12</v>
      </c>
      <c r="AB4" s="42" t="s">
        <v>13</v>
      </c>
      <c r="AG4" s="42" t="s">
        <v>12</v>
      </c>
      <c r="AH4" s="42" t="s">
        <v>13</v>
      </c>
    </row>
    <row r="5" spans="1:36" x14ac:dyDescent="0.35">
      <c r="A5" s="42" t="s">
        <v>19</v>
      </c>
      <c r="B5" s="42">
        <v>8.74</v>
      </c>
      <c r="F5" s="42" t="s">
        <v>19</v>
      </c>
      <c r="G5" s="42">
        <v>9.0500000000000007</v>
      </c>
      <c r="K5" s="42" t="s">
        <v>19</v>
      </c>
      <c r="L5" s="42">
        <v>9.4700000000000006</v>
      </c>
      <c r="P5" s="42" t="s">
        <v>19</v>
      </c>
      <c r="Q5" s="42">
        <f>ROUND(L5*1.0165,2)</f>
        <v>9.6300000000000008</v>
      </c>
      <c r="U5" s="42" t="s">
        <v>19</v>
      </c>
      <c r="V5" s="42">
        <f>ROUND(Q5*1.0558,2)</f>
        <v>10.17</v>
      </c>
      <c r="AA5" s="42" t="s">
        <v>19</v>
      </c>
      <c r="AB5" s="42">
        <f>ROUND(V5*1.0687,2)</f>
        <v>10.87</v>
      </c>
      <c r="AG5" s="42" t="s">
        <v>19</v>
      </c>
      <c r="AH5" s="42">
        <f>ROUND(AB5*1.07,2)</f>
        <v>11.63</v>
      </c>
    </row>
    <row r="6" spans="1:36" x14ac:dyDescent="0.35">
      <c r="A6" s="42" t="s">
        <v>21</v>
      </c>
      <c r="B6" s="42">
        <v>12.69</v>
      </c>
      <c r="F6" s="42" t="s">
        <v>21</v>
      </c>
      <c r="G6" s="42">
        <v>13.13</v>
      </c>
      <c r="K6" s="42" t="s">
        <v>21</v>
      </c>
      <c r="L6" s="42">
        <v>13.74</v>
      </c>
      <c r="P6" s="42" t="s">
        <v>21</v>
      </c>
      <c r="Q6" s="42">
        <f t="shared" ref="Q6:Q8" si="0">ROUND(L6*1.0165,2)</f>
        <v>13.97</v>
      </c>
      <c r="U6" s="42" t="s">
        <v>21</v>
      </c>
      <c r="V6" s="42">
        <f t="shared" ref="V6:V8" si="1">ROUND(Q6*1.0558,2)</f>
        <v>14.75</v>
      </c>
      <c r="AA6" s="42" t="s">
        <v>21</v>
      </c>
      <c r="AB6" s="42">
        <f>ROUND(V6*1.0687,2)</f>
        <v>15.76</v>
      </c>
      <c r="AG6" s="42" t="s">
        <v>21</v>
      </c>
      <c r="AH6" s="42">
        <f t="shared" ref="AH6:AH8" si="2">ROUND(AB6*1.07,2)</f>
        <v>16.86</v>
      </c>
    </row>
    <row r="7" spans="1:36" x14ac:dyDescent="0.35">
      <c r="A7" s="42" t="s">
        <v>22</v>
      </c>
      <c r="B7" s="42">
        <v>17.920000000000002</v>
      </c>
      <c r="F7" s="42" t="s">
        <v>22</v>
      </c>
      <c r="G7" s="42">
        <v>18.55</v>
      </c>
      <c r="K7" s="42" t="s">
        <v>22</v>
      </c>
      <c r="L7" s="42">
        <v>19.41</v>
      </c>
      <c r="P7" s="42" t="s">
        <v>22</v>
      </c>
      <c r="Q7" s="42">
        <f t="shared" si="0"/>
        <v>19.73</v>
      </c>
      <c r="U7" s="42" t="s">
        <v>22</v>
      </c>
      <c r="V7" s="42">
        <f t="shared" si="1"/>
        <v>20.83</v>
      </c>
      <c r="AA7" s="42" t="s">
        <v>22</v>
      </c>
      <c r="AB7" s="42">
        <f>ROUND(V7*1.0687,2)</f>
        <v>22.26</v>
      </c>
      <c r="AG7" s="42" t="s">
        <v>22</v>
      </c>
      <c r="AH7" s="42">
        <f t="shared" si="2"/>
        <v>23.82</v>
      </c>
    </row>
    <row r="8" spans="1:36" x14ac:dyDescent="0.35">
      <c r="A8" s="42" t="s">
        <v>23</v>
      </c>
      <c r="B8" s="42">
        <v>34.75</v>
      </c>
      <c r="F8" s="42" t="s">
        <v>23</v>
      </c>
      <c r="G8" s="42">
        <v>35.96</v>
      </c>
      <c r="K8" s="42" t="s">
        <v>23</v>
      </c>
      <c r="L8" s="42">
        <v>37.630000000000003</v>
      </c>
      <c r="P8" s="42" t="s">
        <v>23</v>
      </c>
      <c r="Q8" s="42">
        <f t="shared" si="0"/>
        <v>38.25</v>
      </c>
      <c r="U8" s="42" t="s">
        <v>23</v>
      </c>
      <c r="V8" s="42">
        <f t="shared" si="1"/>
        <v>40.380000000000003</v>
      </c>
      <c r="AA8" s="42" t="s">
        <v>23</v>
      </c>
      <c r="AB8" s="42">
        <f>ROUND(V8*1.0687,2)</f>
        <v>43.15</v>
      </c>
      <c r="AG8" s="42" t="s">
        <v>23</v>
      </c>
      <c r="AH8" s="42">
        <f t="shared" si="2"/>
        <v>46.17</v>
      </c>
    </row>
    <row r="10" spans="1:36" ht="15" thickBot="1" x14ac:dyDescent="0.4"/>
    <row r="11" spans="1:36" x14ac:dyDescent="0.35">
      <c r="A11" s="57" t="s">
        <v>24</v>
      </c>
      <c r="B11" s="94"/>
      <c r="C11" s="37"/>
      <c r="D11" s="38"/>
      <c r="F11" s="57" t="s">
        <v>24</v>
      </c>
      <c r="G11" s="95"/>
      <c r="H11" s="37"/>
      <c r="I11" s="38"/>
      <c r="K11" s="57" t="s">
        <v>24</v>
      </c>
      <c r="L11" s="95"/>
      <c r="M11" s="37"/>
      <c r="N11" s="38"/>
      <c r="P11" s="57" t="s">
        <v>24</v>
      </c>
      <c r="Q11" s="95"/>
      <c r="R11" s="37"/>
      <c r="S11" s="38"/>
      <c r="U11" s="57" t="s">
        <v>24</v>
      </c>
      <c r="V11" s="95"/>
      <c r="W11" s="37"/>
      <c r="X11" s="38"/>
      <c r="AA11" s="57" t="s">
        <v>24</v>
      </c>
      <c r="AB11" s="95"/>
      <c r="AC11" s="37"/>
      <c r="AD11" s="38"/>
      <c r="AG11" s="57" t="s">
        <v>24</v>
      </c>
      <c r="AH11" s="95"/>
      <c r="AI11" s="37"/>
      <c r="AJ11" s="38"/>
    </row>
    <row r="12" spans="1:36" x14ac:dyDescent="0.35">
      <c r="A12" s="58" t="s">
        <v>25</v>
      </c>
      <c r="B12" s="40" t="str">
        <f>L12</f>
        <v>Complex</v>
      </c>
      <c r="D12" s="41"/>
      <c r="F12" s="58" t="s">
        <v>25</v>
      </c>
      <c r="G12" s="5" t="str">
        <f>L12</f>
        <v>Complex</v>
      </c>
      <c r="I12" s="41"/>
      <c r="K12" s="58" t="s">
        <v>25</v>
      </c>
      <c r="L12" s="5" t="s">
        <v>23</v>
      </c>
      <c r="N12" s="41"/>
      <c r="P12" s="58" t="s">
        <v>25</v>
      </c>
      <c r="Q12" s="5" t="s">
        <v>23</v>
      </c>
      <c r="S12" s="41"/>
      <c r="U12" s="58" t="s">
        <v>25</v>
      </c>
      <c r="V12" s="5" t="s">
        <v>23</v>
      </c>
      <c r="X12" s="41"/>
      <c r="AA12" s="58" t="s">
        <v>25</v>
      </c>
      <c r="AB12" s="5" t="s">
        <v>22</v>
      </c>
      <c r="AD12" s="41"/>
      <c r="AG12" s="58" t="s">
        <v>25</v>
      </c>
      <c r="AH12" s="5" t="s">
        <v>23</v>
      </c>
      <c r="AJ12" s="41"/>
    </row>
    <row r="13" spans="1:36" x14ac:dyDescent="0.35">
      <c r="A13" s="59"/>
      <c r="B13" s="42" t="s">
        <v>68</v>
      </c>
      <c r="C13" s="42" t="s">
        <v>69</v>
      </c>
      <c r="D13" s="60"/>
      <c r="F13" s="59"/>
      <c r="G13" s="42" t="s">
        <v>68</v>
      </c>
      <c r="H13" s="42" t="s">
        <v>69</v>
      </c>
      <c r="I13" s="60"/>
      <c r="K13" s="59"/>
      <c r="L13" s="42" t="s">
        <v>68</v>
      </c>
      <c r="M13" s="42" t="s">
        <v>69</v>
      </c>
      <c r="N13" s="60"/>
      <c r="P13" s="59"/>
      <c r="Q13" s="42" t="s">
        <v>68</v>
      </c>
      <c r="R13" s="42" t="s">
        <v>69</v>
      </c>
      <c r="S13" s="60"/>
      <c r="U13" s="59"/>
      <c r="V13" s="42" t="s">
        <v>68</v>
      </c>
      <c r="W13" s="42" t="s">
        <v>69</v>
      </c>
      <c r="X13" s="60"/>
      <c r="AA13" s="59"/>
      <c r="AB13" s="42" t="s">
        <v>68</v>
      </c>
      <c r="AC13" s="42" t="s">
        <v>69</v>
      </c>
      <c r="AD13" s="60"/>
      <c r="AG13" s="59"/>
      <c r="AH13" s="42" t="s">
        <v>68</v>
      </c>
      <c r="AI13" s="42" t="s">
        <v>69</v>
      </c>
      <c r="AJ13" s="60"/>
    </row>
    <row r="14" spans="1:36" ht="39" thickBot="1" x14ac:dyDescent="0.4">
      <c r="A14" s="96" t="s">
        <v>88</v>
      </c>
      <c r="B14" s="74">
        <f>L14</f>
        <v>10</v>
      </c>
      <c r="C14" s="75">
        <f>VLOOKUP(B12,A4:B8,2,FALSE)</f>
        <v>34.75</v>
      </c>
      <c r="D14" s="27">
        <f>B14*C14</f>
        <v>347.5</v>
      </c>
      <c r="E14" s="97"/>
      <c r="F14" s="96" t="s">
        <v>88</v>
      </c>
      <c r="G14" s="26">
        <f>L14</f>
        <v>10</v>
      </c>
      <c r="H14" s="75">
        <f>VLOOKUP(G12,F4:G8,2,FALSE)</f>
        <v>35.96</v>
      </c>
      <c r="I14" s="27">
        <f>G14*H14</f>
        <v>359.6</v>
      </c>
      <c r="J14" s="97"/>
      <c r="K14" s="96" t="s">
        <v>88</v>
      </c>
      <c r="L14" s="26">
        <v>10</v>
      </c>
      <c r="M14" s="75">
        <f>VLOOKUP(L12,K4:L8,2,FALSE)</f>
        <v>37.630000000000003</v>
      </c>
      <c r="N14" s="27">
        <f>L14*M14</f>
        <v>376.3</v>
      </c>
      <c r="P14" s="96" t="s">
        <v>88</v>
      </c>
      <c r="Q14" s="26">
        <v>10</v>
      </c>
      <c r="R14" s="75">
        <f>VLOOKUP(Q12,P4:Q8,2,FALSE)</f>
        <v>38.25</v>
      </c>
      <c r="S14" s="27">
        <f>Q14*R14</f>
        <v>382.5</v>
      </c>
      <c r="U14" s="96" t="s">
        <v>88</v>
      </c>
      <c r="V14" s="26">
        <v>10</v>
      </c>
      <c r="W14" s="75">
        <f>VLOOKUP(V12,U4:V8,2,FALSE)</f>
        <v>40.380000000000003</v>
      </c>
      <c r="X14" s="27">
        <f>V14*W14</f>
        <v>403.8</v>
      </c>
      <c r="AA14" s="96" t="s">
        <v>88</v>
      </c>
      <c r="AB14" s="26"/>
      <c r="AC14" s="75">
        <f>VLOOKUP(AB12,AA4:AB8,2,FALSE)</f>
        <v>22.26</v>
      </c>
      <c r="AD14" s="27">
        <f>AB14*AC14</f>
        <v>0</v>
      </c>
      <c r="AG14" s="96" t="s">
        <v>88</v>
      </c>
      <c r="AH14" s="26">
        <v>2</v>
      </c>
      <c r="AI14" s="75">
        <f>VLOOKUP(AH12,AG4:AH8,2,FALSE)</f>
        <v>46.17</v>
      </c>
      <c r="AJ14" s="27">
        <f>AH14*AI14</f>
        <v>92.34</v>
      </c>
    </row>
    <row r="15" spans="1:36" x14ac:dyDescent="0.35">
      <c r="A15" s="97"/>
      <c r="B15" s="76"/>
      <c r="C15" s="76"/>
      <c r="D15" s="56"/>
    </row>
    <row r="16" spans="1:36" s="51" customFormat="1" x14ac:dyDescent="0.35">
      <c r="A16" s="77"/>
      <c r="F16" s="51" t="s">
        <v>39</v>
      </c>
      <c r="I16" s="52">
        <f>+I14-$D14</f>
        <v>12.100000000000023</v>
      </c>
      <c r="N16" s="52"/>
      <c r="S16" s="52"/>
      <c r="X16" s="52"/>
      <c r="AD16" s="52"/>
      <c r="AJ16" s="52"/>
    </row>
    <row r="17" spans="1:36" x14ac:dyDescent="0.35">
      <c r="A17" s="97"/>
      <c r="K17" s="51"/>
      <c r="L17" s="51"/>
      <c r="M17" s="51"/>
      <c r="N17" s="52"/>
      <c r="P17" s="51"/>
      <c r="Q17" s="51"/>
      <c r="R17" s="51"/>
      <c r="S17" s="52"/>
      <c r="U17" s="51"/>
      <c r="V17" s="51"/>
      <c r="W17" s="51"/>
      <c r="X17" s="52"/>
      <c r="AA17" s="51"/>
      <c r="AB17" s="51"/>
      <c r="AC17" s="51"/>
      <c r="AD17" s="52"/>
      <c r="AG17" s="51"/>
      <c r="AH17" s="51"/>
      <c r="AI17" s="51"/>
      <c r="AJ17" s="52"/>
    </row>
    <row r="18" spans="1:36" x14ac:dyDescent="0.35">
      <c r="A18" s="97"/>
    </row>
    <row r="19" spans="1:36" x14ac:dyDescent="0.35">
      <c r="A19" s="97"/>
    </row>
  </sheetData>
  <sheetProtection selectLockedCells="1"/>
  <mergeCells count="7">
    <mergeCell ref="AG2:AJ2"/>
    <mergeCell ref="AA2:AD2"/>
    <mergeCell ref="A2:D2"/>
    <mergeCell ref="F2:I2"/>
    <mergeCell ref="K2:N2"/>
    <mergeCell ref="P2:S2"/>
    <mergeCell ref="U2:X2"/>
  </mergeCells>
  <dataValidations count="2">
    <dataValidation type="list" allowBlank="1" showInputMessage="1" showErrorMessage="1" sqref="B12" xr:uid="{A0BC5D3C-1F51-45FB-8DBC-19C011597A87}">
      <formula1>$A$4:$A$8</formula1>
    </dataValidation>
    <dataValidation type="list" allowBlank="1" showInputMessage="1" showErrorMessage="1" sqref="G12 L12 Q12 V12 AB12 AH12" xr:uid="{680A9665-5171-4E10-8110-2BCBB932DDB2}">
      <formula1>$F$4:$F$8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G15" sqref="G15"/>
    </sheetView>
  </sheetViews>
  <sheetFormatPr defaultColWidth="9.1796875" defaultRowHeight="14.5" x14ac:dyDescent="0.35"/>
  <cols>
    <col min="1" max="1" width="27.54296875" style="1" bestFit="1" customWidth="1"/>
    <col min="2" max="16384" width="9.1796875" style="1"/>
  </cols>
  <sheetData>
    <row r="1" spans="1:8" x14ac:dyDescent="0.35">
      <c r="A1" s="13" t="s">
        <v>24</v>
      </c>
      <c r="B1" s="2"/>
      <c r="C1" s="3"/>
      <c r="D1" s="4"/>
    </row>
    <row r="2" spans="1:8" x14ac:dyDescent="0.35">
      <c r="A2" s="14" t="s">
        <v>25</v>
      </c>
      <c r="B2" s="5"/>
      <c r="D2" s="6"/>
      <c r="F2" s="1" t="s">
        <v>89</v>
      </c>
      <c r="H2" s="80"/>
    </row>
    <row r="3" spans="1:8" x14ac:dyDescent="0.35">
      <c r="A3" s="15"/>
      <c r="B3" s="7" t="s">
        <v>68</v>
      </c>
      <c r="C3" s="7" t="s">
        <v>69</v>
      </c>
      <c r="D3" s="16"/>
    </row>
    <row r="4" spans="1:8" x14ac:dyDescent="0.35">
      <c r="A4" s="98" t="s">
        <v>70</v>
      </c>
      <c r="B4" s="8"/>
      <c r="C4" s="25">
        <f>23.76*2</f>
        <v>47.52</v>
      </c>
      <c r="D4" s="17">
        <f>B4*C4</f>
        <v>0</v>
      </c>
    </row>
    <row r="5" spans="1:8" x14ac:dyDescent="0.35">
      <c r="A5" s="98" t="s">
        <v>90</v>
      </c>
      <c r="B5" s="93"/>
      <c r="C5" s="25">
        <v>23.76</v>
      </c>
      <c r="D5" s="17">
        <f>B5*C5</f>
        <v>0</v>
      </c>
    </row>
    <row r="6" spans="1:8" x14ac:dyDescent="0.35">
      <c r="A6" s="98" t="s">
        <v>91</v>
      </c>
      <c r="B6" s="93"/>
      <c r="C6" s="99">
        <v>23.76</v>
      </c>
      <c r="D6" s="17">
        <f>B6*C6</f>
        <v>0</v>
      </c>
    </row>
    <row r="7" spans="1:8" x14ac:dyDescent="0.35">
      <c r="A7" s="18" t="s">
        <v>73</v>
      </c>
      <c r="B7" s="19"/>
      <c r="C7" s="20"/>
      <c r="D7" s="21">
        <f>SUM(D4:D6)</f>
        <v>0</v>
      </c>
    </row>
    <row r="8" spans="1:8" x14ac:dyDescent="0.35">
      <c r="A8" s="15" t="s">
        <v>74</v>
      </c>
      <c r="B8" s="8">
        <f>B4+B5</f>
        <v>0</v>
      </c>
      <c r="C8" s="8"/>
      <c r="D8" s="17">
        <f>B8*C8</f>
        <v>0</v>
      </c>
    </row>
    <row r="9" spans="1:8" ht="15" thickBot="1" x14ac:dyDescent="0.4">
      <c r="A9" s="22" t="s">
        <v>75</v>
      </c>
      <c r="B9" s="23"/>
      <c r="C9" s="23"/>
      <c r="D9" s="24">
        <f>D7-D8</f>
        <v>0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0569e9-8bb9-446b-921a-a0b3d43ebbfe">
      <Terms xmlns="http://schemas.microsoft.com/office/infopath/2007/PartnerControls"/>
    </lcf76f155ced4ddcb4097134ff3c332f>
    <TaxCatchAll xmlns="88cc1ac3-d661-4513-9676-173c55b04f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3438850EE87842BC38625E9CC8EFEB" ma:contentTypeVersion="14" ma:contentTypeDescription="Create a new document." ma:contentTypeScope="" ma:versionID="09c1839b0372f1e0b4e240886ba2545d">
  <xsd:schema xmlns:xsd="http://www.w3.org/2001/XMLSchema" xmlns:xs="http://www.w3.org/2001/XMLSchema" xmlns:p="http://schemas.microsoft.com/office/2006/metadata/properties" xmlns:ns2="b50569e9-8bb9-446b-921a-a0b3d43ebbfe" xmlns:ns3="b2f609c9-6354-4e0e-a9dc-50798e574a74" xmlns:ns4="88cc1ac3-d661-4513-9676-173c55b04fe2" targetNamespace="http://schemas.microsoft.com/office/2006/metadata/properties" ma:root="true" ma:fieldsID="ad6ad585e39d392d9f37250fbbf5cbaa" ns2:_="" ns3:_="" ns4:_="">
    <xsd:import namespace="b50569e9-8bb9-446b-921a-a0b3d43ebbfe"/>
    <xsd:import namespace="b2f609c9-6354-4e0e-a9dc-50798e574a74"/>
    <xsd:import namespace="88cc1ac3-d661-4513-9676-173c55b04f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0569e9-8bb9-446b-921a-a0b3d43eb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2976cec-d0ce-485f-bc4a-34973482e7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609c9-6354-4e0e-a9dc-50798e574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1ac3-d661-4513-9676-173c55b04fe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7b438ed-193d-4153-aa96-600ca5467c85}" ma:internalName="TaxCatchAll" ma:showField="CatchAllData" ma:web="b2f609c9-6354-4e0e-a9dc-50798e574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216FCD-0D2F-4FF8-B606-80F7752840A6}">
  <ds:schemaRefs>
    <ds:schemaRef ds:uri="http://schemas.microsoft.com/office/2006/metadata/properties"/>
    <ds:schemaRef ds:uri="http://schemas.microsoft.com/office/infopath/2007/PartnerControls"/>
    <ds:schemaRef ds:uri="b50569e9-8bb9-446b-921a-a0b3d43ebbfe"/>
    <ds:schemaRef ds:uri="88cc1ac3-d661-4513-9676-173c55b04fe2"/>
  </ds:schemaRefs>
</ds:datastoreItem>
</file>

<file path=customXml/itemProps2.xml><?xml version="1.0" encoding="utf-8"?>
<ds:datastoreItem xmlns:ds="http://schemas.openxmlformats.org/officeDocument/2006/customXml" ds:itemID="{98FA9A40-56E9-48CB-8FC5-BB20C488D2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0569e9-8bb9-446b-921a-a0b3d43ebbfe"/>
    <ds:schemaRef ds:uri="b2f609c9-6354-4e0e-a9dc-50798e574a74"/>
    <ds:schemaRef ds:uri="88cc1ac3-d661-4513-9676-173c55b04f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E0CD48-CFC7-4AA8-8DDC-D1BA258F5C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LT cost</vt:lpstr>
      <vt:lpstr>ST cost</vt:lpstr>
      <vt:lpstr>day service or outreach</vt:lpstr>
      <vt:lpstr>ST protected rates</vt:lpstr>
    </vt:vector>
  </TitlesOfParts>
  <Manager/>
  <Company>Nottinghamshire County Council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 Cameron-Jones</dc:creator>
  <cp:keywords/>
  <dc:description/>
  <cp:lastModifiedBy>Lora Middleton</cp:lastModifiedBy>
  <cp:revision/>
  <dcterms:created xsi:type="dcterms:W3CDTF">2014-12-09T15:45:46Z</dcterms:created>
  <dcterms:modified xsi:type="dcterms:W3CDTF">2024-06-13T08:19:25Z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0x010100423438850EE87842BC38625E9CC8EFEB</vt:lpwstr>
  </property>
  <property fmtid="{D5CDD505-2E9C-101B-9397-08002B2CF9AE}" pid="3" name="MediaServiceImageTags">
    <vt:lpwstr/>
  </property>
</Properties>
</file>